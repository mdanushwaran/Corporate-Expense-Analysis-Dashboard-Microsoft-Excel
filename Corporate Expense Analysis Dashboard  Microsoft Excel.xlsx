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D:\Corporate Expense Analysis Dashboard  Microsoft Excel\"/>
    </mc:Choice>
  </mc:AlternateContent>
  <xr:revisionPtr revIDLastSave="0" documentId="8_{11A9688C-B34D-41D7-8408-138EDDD2747B}" xr6:coauthVersionLast="47" xr6:coauthVersionMax="47" xr10:uidLastSave="{00000000-0000-0000-0000-000000000000}"/>
  <bookViews>
    <workbookView xWindow="-108" yWindow="-108" windowWidth="23256" windowHeight="12456" activeTab="1" xr2:uid="{E7ACE6DD-2F2F-402F-8F3B-C4AF5C477002}"/>
  </bookViews>
  <sheets>
    <sheet name="Clean Datas" sheetId="1" r:id="rId1"/>
    <sheet name="Dashboard" sheetId="12" r:id="rId2"/>
    <sheet name="pivot " sheetId="2" r:id="rId3"/>
    <sheet name="Slicers" sheetId="6" r:id="rId4"/>
    <sheet name="Sum Charts" sheetId="3" r:id="rId5"/>
    <sheet name="Average Charts" sheetId="5" r:id="rId6"/>
    <sheet name="Count Charts" sheetId="10" r:id="rId7"/>
  </sheets>
  <definedNames>
    <definedName name="Slicer_Approved">#N/A</definedName>
    <definedName name="Slicer_Approved1">#N/A</definedName>
    <definedName name="Slicer_Category">#N/A</definedName>
    <definedName name="Slicer_Category1">#N/A</definedName>
    <definedName name="Slicer_Department">#N/A</definedName>
    <definedName name="Slicer_Department1">#N/A</definedName>
    <definedName name="Slicer_Payment_Method">#N/A</definedName>
    <definedName name="Slicer_Payment_Method1">#N/A</definedName>
  </definedNames>
  <calcPr calcId="191029"/>
  <pivotCaches>
    <pivotCache cacheId="0" r:id="rId8"/>
    <pivotCache cacheId="1" r:id="rId9"/>
    <pivotCache cacheId="27" r:id="rId10"/>
    <pivotCache cacheId="1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L413" i="1"/>
  <c r="L405" i="1"/>
  <c r="L397" i="1"/>
  <c r="L356" i="1"/>
  <c r="L357" i="1"/>
  <c r="L358" i="1"/>
  <c r="L359" i="1"/>
  <c r="L360" i="1"/>
  <c r="L361" i="1"/>
  <c r="L362" i="1"/>
  <c r="L363" i="1"/>
  <c r="L364" i="1"/>
  <c r="L365" i="1"/>
  <c r="L366" i="1"/>
  <c r="L355" i="1"/>
  <c r="L320" i="1"/>
  <c r="L321" i="1"/>
  <c r="L322" i="1"/>
  <c r="L323" i="1"/>
  <c r="L324" i="1"/>
  <c r="L325" i="1"/>
  <c r="L326" i="1"/>
  <c r="L327" i="1"/>
  <c r="L328" i="1"/>
  <c r="L329" i="1"/>
  <c r="L330" i="1"/>
  <c r="L331" i="1"/>
  <c r="L332" i="1"/>
  <c r="L333" i="1"/>
  <c r="L334" i="1"/>
  <c r="L335" i="1"/>
  <c r="L300" i="1"/>
  <c r="L301" i="1"/>
  <c r="L302" i="1"/>
  <c r="L303" i="1"/>
  <c r="L304" i="1"/>
  <c r="L305" i="1"/>
  <c r="L306" i="1"/>
  <c r="L307" i="1"/>
  <c r="L308" i="1"/>
  <c r="L299" i="1"/>
  <c r="L246" i="1"/>
  <c r="L247" i="1"/>
  <c r="L248" i="1"/>
  <c r="L249" i="1"/>
  <c r="L250" i="1"/>
  <c r="L251" i="1"/>
  <c r="L252" i="1"/>
  <c r="L253" i="1"/>
  <c r="L254" i="1"/>
  <c r="L255" i="1"/>
  <c r="L256" i="1"/>
  <c r="L257" i="1"/>
  <c r="L258" i="1"/>
  <c r="L259" i="1"/>
  <c r="L260" i="1"/>
  <c r="L182" i="1"/>
  <c r="L183" i="1"/>
  <c r="L184" i="1"/>
  <c r="L185" i="1"/>
  <c r="L186" i="1"/>
  <c r="L187" i="1"/>
  <c r="L188" i="1"/>
  <c r="L189" i="1"/>
  <c r="L190" i="1"/>
  <c r="L191" i="1"/>
  <c r="L192" i="1"/>
  <c r="L193" i="1"/>
  <c r="L194" i="1"/>
  <c r="L195" i="1"/>
  <c r="L196" i="1"/>
  <c r="L197" i="1"/>
  <c r="L198" i="1"/>
  <c r="L181" i="1"/>
  <c r="L7" i="1"/>
  <c r="L24" i="1"/>
  <c r="L25" i="1"/>
  <c r="L26" i="1"/>
  <c r="L27" i="1"/>
  <c r="L28" i="1"/>
  <c r="L29" i="1"/>
  <c r="L30" i="1"/>
  <c r="L31" i="1"/>
  <c r="L32" i="1"/>
  <c r="L33" i="1"/>
  <c r="L34" i="1"/>
  <c r="L35" i="1"/>
  <c r="L36" i="1"/>
  <c r="L37" i="1"/>
  <c r="L38" i="1"/>
  <c r="L39" i="1"/>
  <c r="L23" i="1"/>
  <c r="L16" i="1"/>
  <c r="L2" i="1"/>
  <c r="L3" i="1"/>
  <c r="L4" i="1"/>
  <c r="L5" i="1"/>
  <c r="L6" i="1"/>
  <c r="L8" i="1"/>
  <c r="L9" i="1"/>
  <c r="L10" i="1"/>
  <c r="L11" i="1"/>
  <c r="L12" i="1"/>
  <c r="L13" i="1"/>
  <c r="L14" i="1"/>
  <c r="L15" i="1"/>
  <c r="L17" i="1"/>
  <c r="L18" i="1"/>
  <c r="L19" i="1"/>
  <c r="L20" i="1"/>
  <c r="L21" i="1"/>
  <c r="L22"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309" i="1"/>
  <c r="L310" i="1"/>
  <c r="L311" i="1"/>
  <c r="L312" i="1"/>
  <c r="L313" i="1"/>
  <c r="L314" i="1"/>
  <c r="L315" i="1"/>
  <c r="L316" i="1"/>
  <c r="L317" i="1"/>
  <c r="L318" i="1"/>
  <c r="L319" i="1"/>
  <c r="L336" i="1"/>
  <c r="L337" i="1"/>
  <c r="L338" i="1"/>
  <c r="L339" i="1"/>
  <c r="L340" i="1"/>
  <c r="L341" i="1"/>
  <c r="L342" i="1"/>
  <c r="L343" i="1"/>
  <c r="L344" i="1"/>
  <c r="L345" i="1"/>
  <c r="L346" i="1"/>
  <c r="L347" i="1"/>
  <c r="L348" i="1"/>
  <c r="L349" i="1"/>
  <c r="L350" i="1"/>
  <c r="L351" i="1"/>
  <c r="L352" i="1"/>
  <c r="L353" i="1"/>
  <c r="L354"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8" i="1"/>
  <c r="L399" i="1"/>
  <c r="L400" i="1"/>
  <c r="L401" i="1"/>
  <c r="L402" i="1"/>
  <c r="L403" i="1"/>
  <c r="L404" i="1"/>
  <c r="L406" i="1"/>
  <c r="L407" i="1"/>
  <c r="L408" i="1"/>
  <c r="L409" i="1"/>
  <c r="L410" i="1"/>
  <c r="L411" i="1"/>
  <c r="L412" i="1"/>
  <c r="L414" i="1"/>
  <c r="L415" i="1"/>
  <c r="L416" i="1"/>
</calcChain>
</file>

<file path=xl/sharedStrings.xml><?xml version="1.0" encoding="utf-8"?>
<sst xmlns="http://schemas.openxmlformats.org/spreadsheetml/2006/main" count="3467" uniqueCount="930">
  <si>
    <t>INV-68564</t>
  </si>
  <si>
    <t>TechMart India</t>
  </si>
  <si>
    <t>Yes</t>
  </si>
  <si>
    <t>Bank Transfer</t>
  </si>
  <si>
    <t>Software expense - Operations</t>
  </si>
  <si>
    <t>Software</t>
  </si>
  <si>
    <t>Operations</t>
  </si>
  <si>
    <t>EXP-5415</t>
  </si>
  <si>
    <t>INV-67624</t>
  </si>
  <si>
    <t>CloudSoft</t>
  </si>
  <si>
    <t>Cash</t>
  </si>
  <si>
    <t>Equipment expense - Operations</t>
  </si>
  <si>
    <t>Equipment</t>
  </si>
  <si>
    <t>EXP-5414</t>
  </si>
  <si>
    <t>INV-31402</t>
  </si>
  <si>
    <t>SkillUp Academy</t>
  </si>
  <si>
    <t>EXP-5413</t>
  </si>
  <si>
    <t>INV-55681</t>
  </si>
  <si>
    <t>GlobalTravel</t>
  </si>
  <si>
    <t>Credit Card</t>
  </si>
  <si>
    <t>Office Supplies expense - Operations</t>
  </si>
  <si>
    <t>Office Supplies</t>
  </si>
  <si>
    <t>EXP-5412</t>
  </si>
  <si>
    <t>INV-34752</t>
  </si>
  <si>
    <t>No</t>
  </si>
  <si>
    <t>Consulting expense - Finance</t>
  </si>
  <si>
    <t>Consulting</t>
  </si>
  <si>
    <t>Finance</t>
  </si>
  <si>
    <t>EXP-5411</t>
  </si>
  <si>
    <t>INV-79778</t>
  </si>
  <si>
    <t>PowerGrid Co</t>
  </si>
  <si>
    <t>Utilities expense - Finance</t>
  </si>
  <si>
    <t>Utilities</t>
  </si>
  <si>
    <t>EXP-5410</t>
  </si>
  <si>
    <t>INV-39521</t>
  </si>
  <si>
    <t>Cheque</t>
  </si>
  <si>
    <t>Travel expense - Finance</t>
  </si>
  <si>
    <t>Travel</t>
  </si>
  <si>
    <t>EXP-5409</t>
  </si>
  <si>
    <t>INV-66675</t>
  </si>
  <si>
    <t>Marketing expense - Finance</t>
  </si>
  <si>
    <t>Marketing</t>
  </si>
  <si>
    <t>EXP-5408</t>
  </si>
  <si>
    <t>INV-69151</t>
  </si>
  <si>
    <t>Strategy Consultants</t>
  </si>
  <si>
    <t>Office Supplies expense - Finance</t>
  </si>
  <si>
    <t>EXP-5407</t>
  </si>
  <si>
    <t>INV-89958</t>
  </si>
  <si>
    <t>Software expense - Finance</t>
  </si>
  <si>
    <t>EXP-5406</t>
  </si>
  <si>
    <t>INV-22077</t>
  </si>
  <si>
    <t>AdPro Media</t>
  </si>
  <si>
    <t>EXP-5405</t>
  </si>
  <si>
    <t>INV-52869</t>
  </si>
  <si>
    <t>Travel expense - HR</t>
  </si>
  <si>
    <t>HR</t>
  </si>
  <si>
    <t>EXP-5404</t>
  </si>
  <si>
    <t>INV-79258</t>
  </si>
  <si>
    <t>Marketing expense - HR</t>
  </si>
  <si>
    <t>EXP-5403</t>
  </si>
  <si>
    <t>INV-13032</t>
  </si>
  <si>
    <t>Consulting expense - HR</t>
  </si>
  <si>
    <t>EXP-5402</t>
  </si>
  <si>
    <t>INV-39842</t>
  </si>
  <si>
    <t>Utilities expense - HR</t>
  </si>
  <si>
    <t>EXP-5401</t>
  </si>
  <si>
    <t>INV-51151</t>
  </si>
  <si>
    <t>QuickTravel</t>
  </si>
  <si>
    <t>Training expense - HR</t>
  </si>
  <si>
    <t>Training</t>
  </si>
  <si>
    <t>EXP-5400</t>
  </si>
  <si>
    <t>INV-85069</t>
  </si>
  <si>
    <t>EXP-5399</t>
  </si>
  <si>
    <t>INV-87307</t>
  </si>
  <si>
    <t>Software expense - HR</t>
  </si>
  <si>
    <t>EXP-5398</t>
  </si>
  <si>
    <t>INV-27600</t>
  </si>
  <si>
    <t>EXP-5397</t>
  </si>
  <si>
    <t>INV-17355</t>
  </si>
  <si>
    <t>Office Supplies expense - Sales</t>
  </si>
  <si>
    <t>Sales</t>
  </si>
  <si>
    <t>EXP-5396</t>
  </si>
  <si>
    <t>INV-73837</t>
  </si>
  <si>
    <t>HardwarePro</t>
  </si>
  <si>
    <t>EXP-5395</t>
  </si>
  <si>
    <t>INV-19755</t>
  </si>
  <si>
    <t>EXP-5394</t>
  </si>
  <si>
    <t>INV-52688</t>
  </si>
  <si>
    <t>Training expense - Sales</t>
  </si>
  <si>
    <t>EXP-5393</t>
  </si>
  <si>
    <t>INV-36504</t>
  </si>
  <si>
    <t>Equipment expense - Marketing</t>
  </si>
  <si>
    <t>EXP-5392</t>
  </si>
  <si>
    <t>INV-17249</t>
  </si>
  <si>
    <t>Training expense - Marketing</t>
  </si>
  <si>
    <t>EXP-5391</t>
  </si>
  <si>
    <t>INV-68944</t>
  </si>
  <si>
    <t>Consulting expense - Marketing</t>
  </si>
  <si>
    <t>EXP-5390</t>
  </si>
  <si>
    <t>INV-44452</t>
  </si>
  <si>
    <t>PrintZone</t>
  </si>
  <si>
    <t>Marketing expense - Marketing</t>
  </si>
  <si>
    <t>EXP-5389</t>
  </si>
  <si>
    <t>INV-32515</t>
  </si>
  <si>
    <t>Office Supplies expense - Engineering</t>
  </si>
  <si>
    <t>Engineering</t>
  </si>
  <si>
    <t>EXP-5388</t>
  </si>
  <si>
    <t>INV-89891</t>
  </si>
  <si>
    <t>EXP-5387</t>
  </si>
  <si>
    <t>INV-40382</t>
  </si>
  <si>
    <t>Utilities expense - Engineering</t>
  </si>
  <si>
    <t>EXP-5386</t>
  </si>
  <si>
    <t>INV-68090</t>
  </si>
  <si>
    <t>Consulting expense - Engineering</t>
  </si>
  <si>
    <t>EXP-5385</t>
  </si>
  <si>
    <t>INV-51839</t>
  </si>
  <si>
    <t>Training expense - Engineering</t>
  </si>
  <si>
    <t>EXP-5384</t>
  </si>
  <si>
    <t>INV-75937</t>
  </si>
  <si>
    <t>EXP-5383</t>
  </si>
  <si>
    <t>INV-94578</t>
  </si>
  <si>
    <t>EXP-5382</t>
  </si>
  <si>
    <t>INV-63368</t>
  </si>
  <si>
    <t>EXP-5381</t>
  </si>
  <si>
    <t>INV-24617</t>
  </si>
  <si>
    <t>EXP-5380</t>
  </si>
  <si>
    <t>INV-87250</t>
  </si>
  <si>
    <t>Consulting expense - Operations</t>
  </si>
  <si>
    <t>EXP-5379</t>
  </si>
  <si>
    <t>INV-35745</t>
  </si>
  <si>
    <t>EXP-5378</t>
  </si>
  <si>
    <t>INV-86188</t>
  </si>
  <si>
    <t>Marketing expense - Operations</t>
  </si>
  <si>
    <t>EXP-5377</t>
  </si>
  <si>
    <t>INV-18345</t>
  </si>
  <si>
    <t>EXP-5376</t>
  </si>
  <si>
    <t>INV-69777</t>
  </si>
  <si>
    <t>EXP-5375</t>
  </si>
  <si>
    <t>INV-84278</t>
  </si>
  <si>
    <t>EXP-5374</t>
  </si>
  <si>
    <t>INV-53190</t>
  </si>
  <si>
    <t>EXP-5373</t>
  </si>
  <si>
    <t>INV-78697</t>
  </si>
  <si>
    <t>EXP-5372</t>
  </si>
  <si>
    <t>INV-89775</t>
  </si>
  <si>
    <t>EXP-5371</t>
  </si>
  <si>
    <t>INV-59790</t>
  </si>
  <si>
    <t>EXP-5370</t>
  </si>
  <si>
    <t>INV-59542</t>
  </si>
  <si>
    <t>EXP-5369</t>
  </si>
  <si>
    <t>INV-32335</t>
  </si>
  <si>
    <t>EXP-5368</t>
  </si>
  <si>
    <t>INV-29446</t>
  </si>
  <si>
    <t>Equipment expense - HR</t>
  </si>
  <si>
    <t>EXP-5367</t>
  </si>
  <si>
    <t>INV-48316</t>
  </si>
  <si>
    <t>EXP-5366</t>
  </si>
  <si>
    <t>INV-72296</t>
  </si>
  <si>
    <t>EXP-5365</t>
  </si>
  <si>
    <t>INV-83864</t>
  </si>
  <si>
    <t>EXP-5364</t>
  </si>
  <si>
    <t>INV-46083</t>
  </si>
  <si>
    <t>EXP-5363</t>
  </si>
  <si>
    <t>INV-54884</t>
  </si>
  <si>
    <t>Utilities expense - Sales</t>
  </si>
  <si>
    <t>EXP-5362</t>
  </si>
  <si>
    <t>INV-22730</t>
  </si>
  <si>
    <t>EXP-5361</t>
  </si>
  <si>
    <t>INV-64118</t>
  </si>
  <si>
    <t>EXP-5360</t>
  </si>
  <si>
    <t>INV-23582</t>
  </si>
  <si>
    <t>EXP-5359</t>
  </si>
  <si>
    <t>INV-57628</t>
  </si>
  <si>
    <t>EXP-5358</t>
  </si>
  <si>
    <t>INV-13109</t>
  </si>
  <si>
    <t>Software expense - Marketing</t>
  </si>
  <si>
    <t>EXP-5357</t>
  </si>
  <si>
    <t>INV-60504</t>
  </si>
  <si>
    <t>EXP-5356</t>
  </si>
  <si>
    <t>INV-70583</t>
  </si>
  <si>
    <t>EXP-5355</t>
  </si>
  <si>
    <t>INV-41704</t>
  </si>
  <si>
    <t>Travel expense - Marketing</t>
  </si>
  <si>
    <t>EXP-5354</t>
  </si>
  <si>
    <t>INV-18495</t>
  </si>
  <si>
    <t>EXP-5353</t>
  </si>
  <si>
    <t>INV-41367</t>
  </si>
  <si>
    <t>EXP-5352</t>
  </si>
  <si>
    <t>INV-12977</t>
  </si>
  <si>
    <t>Travel expense - Engineering</t>
  </si>
  <si>
    <t>EXP-5351</t>
  </si>
  <si>
    <t>INV-63578</t>
  </si>
  <si>
    <t>EXP-5350</t>
  </si>
  <si>
    <t>INV-93416</t>
  </si>
  <si>
    <t>Software expense - Engineering</t>
  </si>
  <si>
    <t>EXP-5349</t>
  </si>
  <si>
    <t>INV-99568</t>
  </si>
  <si>
    <t>Equipment expense - Engineering</t>
  </si>
  <si>
    <t>EXP-5348</t>
  </si>
  <si>
    <t>INV-30574</t>
  </si>
  <si>
    <t>EXP-5347</t>
  </si>
  <si>
    <t>INV-79796</t>
  </si>
  <si>
    <t>EXP-5346</t>
  </si>
  <si>
    <t>INV-92611</t>
  </si>
  <si>
    <t>Utilities expense - Operations</t>
  </si>
  <si>
    <t>EXP-5345</t>
  </si>
  <si>
    <t>INV-63545</t>
  </si>
  <si>
    <t>EXP-5344</t>
  </si>
  <si>
    <t>INV-38613</t>
  </si>
  <si>
    <t>Equipment expense - Finance</t>
  </si>
  <si>
    <t>EXP-5343</t>
  </si>
  <si>
    <t>INV-40765</t>
  </si>
  <si>
    <t>EXP-5342</t>
  </si>
  <si>
    <t>INV-84041</t>
  </si>
  <si>
    <t>EXP-5341</t>
  </si>
  <si>
    <t>INV-51331</t>
  </si>
  <si>
    <t>EXP-5340</t>
  </si>
  <si>
    <t>INV-55259</t>
  </si>
  <si>
    <t>EXP-5339</t>
  </si>
  <si>
    <t>INV-32283</t>
  </si>
  <si>
    <t>EXP-5338</t>
  </si>
  <si>
    <t>INV-51896</t>
  </si>
  <si>
    <t>EXP-5337</t>
  </si>
  <si>
    <t>INV-93200</t>
  </si>
  <si>
    <t>EXP-5336</t>
  </si>
  <si>
    <t>INV-90135</t>
  </si>
  <si>
    <t>EXP-5335</t>
  </si>
  <si>
    <t>INV-70613</t>
  </si>
  <si>
    <t>EXP-5334</t>
  </si>
  <si>
    <t>INV-45740</t>
  </si>
  <si>
    <t>Marketing expense - Sales</t>
  </si>
  <si>
    <t>EXP-5333</t>
  </si>
  <si>
    <t>INV-46016</t>
  </si>
  <si>
    <t>EXP-5332</t>
  </si>
  <si>
    <t>INV-49741</t>
  </si>
  <si>
    <t>Software expense - Sales</t>
  </si>
  <si>
    <t>EXP-5331</t>
  </si>
  <si>
    <t>INV-43666</t>
  </si>
  <si>
    <t>EXP-5330</t>
  </si>
  <si>
    <t>INV-20323</t>
  </si>
  <si>
    <t>EXP-5329</t>
  </si>
  <si>
    <t>INV-52806</t>
  </si>
  <si>
    <t>EXP-5328</t>
  </si>
  <si>
    <t>INV-55270</t>
  </si>
  <si>
    <t>EXP-5327</t>
  </si>
  <si>
    <t>INV-21016</t>
  </si>
  <si>
    <t>EXP-5326</t>
  </si>
  <si>
    <t>INV-93359</t>
  </si>
  <si>
    <t>EXP-5325</t>
  </si>
  <si>
    <t>INV-45027</t>
  </si>
  <si>
    <t>Utilities expense - Marketing</t>
  </si>
  <si>
    <t>EXP-5324</t>
  </si>
  <si>
    <t>INV-88555</t>
  </si>
  <si>
    <t>EXP-5323</t>
  </si>
  <si>
    <t>INV-70917</t>
  </si>
  <si>
    <t>Office Supplies expense - Marketing</t>
  </si>
  <si>
    <t>EXP-5322</t>
  </si>
  <si>
    <t>INV-43795</t>
  </si>
  <si>
    <t>EXP-5321</t>
  </si>
  <si>
    <t>INV-79692</t>
  </si>
  <si>
    <t>EXP-5320</t>
  </si>
  <si>
    <t>INV-72068</t>
  </si>
  <si>
    <t>EXP-5319</t>
  </si>
  <si>
    <t>INV-49708</t>
  </si>
  <si>
    <t>EXP-5318</t>
  </si>
  <si>
    <t>INV-26874</t>
  </si>
  <si>
    <t>EXP-5317</t>
  </si>
  <si>
    <t>INV-99923</t>
  </si>
  <si>
    <t>EXP-5316</t>
  </si>
  <si>
    <t>INV-31435</t>
  </si>
  <si>
    <t>EXP-5315</t>
  </si>
  <si>
    <t>INV-47350</t>
  </si>
  <si>
    <t>EXP-5314</t>
  </si>
  <si>
    <t>INV-49575</t>
  </si>
  <si>
    <t>EXP-5313</t>
  </si>
  <si>
    <t>INV-62190</t>
  </si>
  <si>
    <t>EXP-5312</t>
  </si>
  <si>
    <t>INV-33351</t>
  </si>
  <si>
    <t>EXP-5311</t>
  </si>
  <si>
    <t>INV-80007</t>
  </si>
  <si>
    <t>EXP-5310</t>
  </si>
  <si>
    <t>INV-27501</t>
  </si>
  <si>
    <t>EXP-5309</t>
  </si>
  <si>
    <t>INV-97613</t>
  </si>
  <si>
    <t>EXP-5308</t>
  </si>
  <si>
    <t>INV-30883</t>
  </si>
  <si>
    <t>EXP-5307</t>
  </si>
  <si>
    <t>INV-21818</t>
  </si>
  <si>
    <t>EXP-5306</t>
  </si>
  <si>
    <t>INV-36267</t>
  </si>
  <si>
    <t>EXP-5305</t>
  </si>
  <si>
    <t>INV-50537</t>
  </si>
  <si>
    <t>EXP-5304</t>
  </si>
  <si>
    <t>INV-78692</t>
  </si>
  <si>
    <t>EXP-5303</t>
  </si>
  <si>
    <t>INV-45305</t>
  </si>
  <si>
    <t>EXP-5302</t>
  </si>
  <si>
    <t>INV-73249</t>
  </si>
  <si>
    <t>EXP-5301</t>
  </si>
  <si>
    <t>INV-67012</t>
  </si>
  <si>
    <t>EXP-5300</t>
  </si>
  <si>
    <t>INV-71189</t>
  </si>
  <si>
    <t>EXP-5299</t>
  </si>
  <si>
    <t>INV-53871</t>
  </si>
  <si>
    <t>EXP-5298</t>
  </si>
  <si>
    <t>INV-52253</t>
  </si>
  <si>
    <t>EXP-5297</t>
  </si>
  <si>
    <t>INV-72286</t>
  </si>
  <si>
    <t>EXP-5296</t>
  </si>
  <si>
    <t>INV-37619</t>
  </si>
  <si>
    <t>EXP-5295</t>
  </si>
  <si>
    <t>INV-37190</t>
  </si>
  <si>
    <t>Equipment expense - Sales</t>
  </si>
  <si>
    <t>EXP-5294</t>
  </si>
  <si>
    <t>INV-86706</t>
  </si>
  <si>
    <t>Consulting expense - Sales</t>
  </si>
  <si>
    <t>EXP-5293</t>
  </si>
  <si>
    <t>INV-22112</t>
  </si>
  <si>
    <t>EXP-5292</t>
  </si>
  <si>
    <t>INV-34673</t>
  </si>
  <si>
    <t>EXP-5291</t>
  </si>
  <si>
    <t>INV-16990</t>
  </si>
  <si>
    <t>EXP-5290</t>
  </si>
  <si>
    <t>INV-42339</t>
  </si>
  <si>
    <t>EXP-5289</t>
  </si>
  <si>
    <t>INV-92132</t>
  </si>
  <si>
    <t>EXP-5288</t>
  </si>
  <si>
    <t>INV-21555</t>
  </si>
  <si>
    <t>EXP-5287</t>
  </si>
  <si>
    <t>INV-83473</t>
  </si>
  <si>
    <t>EXP-5286</t>
  </si>
  <si>
    <t>INV-36041</t>
  </si>
  <si>
    <t>EXP-5285</t>
  </si>
  <si>
    <t>INV-75735</t>
  </si>
  <si>
    <t>EXP-5284</t>
  </si>
  <si>
    <t>INV-58005</t>
  </si>
  <si>
    <t>EXP-5283</t>
  </si>
  <si>
    <t>INV-35451</t>
  </si>
  <si>
    <t>EXP-5282</t>
  </si>
  <si>
    <t>INV-17346</t>
  </si>
  <si>
    <t>Marketing expense - Engineering</t>
  </si>
  <si>
    <t>EXP-5281</t>
  </si>
  <si>
    <t>INV-13779</t>
  </si>
  <si>
    <t>EXP-5280</t>
  </si>
  <si>
    <t>INV-74264</t>
  </si>
  <si>
    <t>EXP-5279</t>
  </si>
  <si>
    <t>INV-43166</t>
  </si>
  <si>
    <t>Travel expense - Operations</t>
  </si>
  <si>
    <t>EXP-5278</t>
  </si>
  <si>
    <t>INV-75902</t>
  </si>
  <si>
    <t>EXP-5277</t>
  </si>
  <si>
    <t>INV-57315</t>
  </si>
  <si>
    <t>EXP-5276</t>
  </si>
  <si>
    <t>INV-38020</t>
  </si>
  <si>
    <t>EXP-5275</t>
  </si>
  <si>
    <t>INV-95471</t>
  </si>
  <si>
    <t>EXP-5274</t>
  </si>
  <si>
    <t>INV-83464</t>
  </si>
  <si>
    <t>EXP-5273</t>
  </si>
  <si>
    <t>INV-51546</t>
  </si>
  <si>
    <t>EXP-5272</t>
  </si>
  <si>
    <t>INV-61543</t>
  </si>
  <si>
    <t>EXP-5271</t>
  </si>
  <si>
    <t>INV-65758</t>
  </si>
  <si>
    <t>EXP-5270</t>
  </si>
  <si>
    <t>INV-72320</t>
  </si>
  <si>
    <t>EXP-5269</t>
  </si>
  <si>
    <t>INV-10350</t>
  </si>
  <si>
    <t>Training expense - Finance</t>
  </si>
  <si>
    <t>EXP-5268</t>
  </si>
  <si>
    <t>INV-87616</t>
  </si>
  <si>
    <t>EXP-5267</t>
  </si>
  <si>
    <t>INV-44463</t>
  </si>
  <si>
    <t>EXP-5266</t>
  </si>
  <si>
    <t>INV-62857</t>
  </si>
  <si>
    <t>EXP-5265</t>
  </si>
  <si>
    <t>INV-45989</t>
  </si>
  <si>
    <t>EXP-5264</t>
  </si>
  <si>
    <t>INV-18751</t>
  </si>
  <si>
    <t>EXP-5263</t>
  </si>
  <si>
    <t>INV-22300</t>
  </si>
  <si>
    <t>EXP-5262</t>
  </si>
  <si>
    <t>INV-33491</t>
  </si>
  <si>
    <t>EXP-5261</t>
  </si>
  <si>
    <t>INV-27739</t>
  </si>
  <si>
    <t>EXP-5260</t>
  </si>
  <si>
    <t>INV-90478</t>
  </si>
  <si>
    <t>EXP-5259</t>
  </si>
  <si>
    <t>INV-90622</t>
  </si>
  <si>
    <t>EXP-5258</t>
  </si>
  <si>
    <t>INV-48895</t>
  </si>
  <si>
    <t>EXP-5257</t>
  </si>
  <si>
    <t>INV-74904</t>
  </si>
  <si>
    <t>EXP-5256</t>
  </si>
  <si>
    <t>INV-31245</t>
  </si>
  <si>
    <t>EXP-5255</t>
  </si>
  <si>
    <t>INV-77427</t>
  </si>
  <si>
    <t>EXP-5254</t>
  </si>
  <si>
    <t>INV-81511</t>
  </si>
  <si>
    <t>EXP-5253</t>
  </si>
  <si>
    <t>INV-84096</t>
  </si>
  <si>
    <t>EXP-5252</t>
  </si>
  <si>
    <t>INV-43033</t>
  </si>
  <si>
    <t>EXP-5251</t>
  </si>
  <si>
    <t>INV-62847</t>
  </si>
  <si>
    <t>EXP-5250</t>
  </si>
  <si>
    <t>INV-32184</t>
  </si>
  <si>
    <t>EXP-5249</t>
  </si>
  <si>
    <t>INV-58473</t>
  </si>
  <si>
    <t>EXP-5248</t>
  </si>
  <si>
    <t>INV-24195</t>
  </si>
  <si>
    <t>EXP-5247</t>
  </si>
  <si>
    <t>INV-79888</t>
  </si>
  <si>
    <t>EXP-5246</t>
  </si>
  <si>
    <t>INV-66299</t>
  </si>
  <si>
    <t>EXP-5245</t>
  </si>
  <si>
    <t>INV-36563</t>
  </si>
  <si>
    <t>EXP-5244</t>
  </si>
  <si>
    <t>INV-50919</t>
  </si>
  <si>
    <t>EXP-5243</t>
  </si>
  <si>
    <t>INV-81001</t>
  </si>
  <si>
    <t>EXP-5242</t>
  </si>
  <si>
    <t>INV-45389</t>
  </si>
  <si>
    <t>EXP-5241</t>
  </si>
  <si>
    <t>INV-40147</t>
  </si>
  <si>
    <t>EXP-5240</t>
  </si>
  <si>
    <t>INV-23437</t>
  </si>
  <si>
    <t>EXP-5239</t>
  </si>
  <si>
    <t>INV-64184</t>
  </si>
  <si>
    <t>EXP-5238</t>
  </si>
  <si>
    <t>INV-30577</t>
  </si>
  <si>
    <t>EXP-5237</t>
  </si>
  <si>
    <t>INV-56229</t>
  </si>
  <si>
    <t>EXP-5236</t>
  </si>
  <si>
    <t>INV-90052</t>
  </si>
  <si>
    <t>EXP-5235</t>
  </si>
  <si>
    <t>INV-50437</t>
  </si>
  <si>
    <t>EXP-5234</t>
  </si>
  <si>
    <t>INV-62255</t>
  </si>
  <si>
    <t>EXP-5233</t>
  </si>
  <si>
    <t>INV-63609</t>
  </si>
  <si>
    <t>EXP-5232</t>
  </si>
  <si>
    <t>INV-88781</t>
  </si>
  <si>
    <t>EXP-5231</t>
  </si>
  <si>
    <t>INV-51799</t>
  </si>
  <si>
    <t>EXP-5230</t>
  </si>
  <si>
    <t>INV-64997</t>
  </si>
  <si>
    <t>EXP-5229</t>
  </si>
  <si>
    <t>INV-88360</t>
  </si>
  <si>
    <t>EXP-5228</t>
  </si>
  <si>
    <t>INV-96106</t>
  </si>
  <si>
    <t>EXP-5227</t>
  </si>
  <si>
    <t>INV-44481</t>
  </si>
  <si>
    <t>EXP-5226</t>
  </si>
  <si>
    <t>INV-18816</t>
  </si>
  <si>
    <t>EXP-5225</t>
  </si>
  <si>
    <t>INV-36027</t>
  </si>
  <si>
    <t>EXP-5224</t>
  </si>
  <si>
    <t>INV-71618</t>
  </si>
  <si>
    <t>Travel expense - Sales</t>
  </si>
  <si>
    <t>EXP-5223</t>
  </si>
  <si>
    <t>INV-93164</t>
  </si>
  <si>
    <t>EXP-5222</t>
  </si>
  <si>
    <t>INV-66803</t>
  </si>
  <si>
    <t>EXP-5221</t>
  </si>
  <si>
    <t>INV-46190</t>
  </si>
  <si>
    <t>EXP-5220</t>
  </si>
  <si>
    <t>INV-56362</t>
  </si>
  <si>
    <t>EXP-5219</t>
  </si>
  <si>
    <t>INV-25720</t>
  </si>
  <si>
    <t>EXP-5218</t>
  </si>
  <si>
    <t>INV-46941</t>
  </si>
  <si>
    <t>EXP-5217</t>
  </si>
  <si>
    <t>INV-15209</t>
  </si>
  <si>
    <t>EXP-5216</t>
  </si>
  <si>
    <t>INV-40366</t>
  </si>
  <si>
    <t>EXP-5215</t>
  </si>
  <si>
    <t>INV-73784</t>
  </si>
  <si>
    <t>EXP-5214</t>
  </si>
  <si>
    <t>INV-46471</t>
  </si>
  <si>
    <t>EXP-5213</t>
  </si>
  <si>
    <t>INV-60340</t>
  </si>
  <si>
    <t>EXP-5212</t>
  </si>
  <si>
    <t>INV-48974</t>
  </si>
  <si>
    <t>EXP-5211</t>
  </si>
  <si>
    <t>INV-52000</t>
  </si>
  <si>
    <t>EXP-5210</t>
  </si>
  <si>
    <t>INV-76764</t>
  </si>
  <si>
    <t>EXP-5209</t>
  </si>
  <si>
    <t>INV-92684</t>
  </si>
  <si>
    <t>EXP-5208</t>
  </si>
  <si>
    <t>INV-54146</t>
  </si>
  <si>
    <t>EXP-5207</t>
  </si>
  <si>
    <t>INV-60870</t>
  </si>
  <si>
    <t>EXP-5206</t>
  </si>
  <si>
    <t>INV-14466</t>
  </si>
  <si>
    <t>EXP-5205</t>
  </si>
  <si>
    <t>INV-31859</t>
  </si>
  <si>
    <t>EXP-5204</t>
  </si>
  <si>
    <t>INV-85499</t>
  </si>
  <si>
    <t>EXP-5203</t>
  </si>
  <si>
    <t>INV-47602</t>
  </si>
  <si>
    <t>EXP-5202</t>
  </si>
  <si>
    <t>INV-40115</t>
  </si>
  <si>
    <t>EXP-5201</t>
  </si>
  <si>
    <t>INV-56135</t>
  </si>
  <si>
    <t>EXP-5200</t>
  </si>
  <si>
    <t>INV-51263</t>
  </si>
  <si>
    <t>EXP-5199</t>
  </si>
  <si>
    <t>INV-35562</t>
  </si>
  <si>
    <t>EXP-5198</t>
  </si>
  <si>
    <t>INV-79174</t>
  </si>
  <si>
    <t>EXP-5197</t>
  </si>
  <si>
    <t>INV-95093</t>
  </si>
  <si>
    <t>EXP-5196</t>
  </si>
  <si>
    <t>INV-51039</t>
  </si>
  <si>
    <t>EXP-5195</t>
  </si>
  <si>
    <t>INV-15847</t>
  </si>
  <si>
    <t>EXP-5194</t>
  </si>
  <si>
    <t>INV-95456</t>
  </si>
  <si>
    <t>EXP-5193</t>
  </si>
  <si>
    <t>INV-47104</t>
  </si>
  <si>
    <t>Office Supplies expense - HR</t>
  </si>
  <si>
    <t>EXP-5192</t>
  </si>
  <si>
    <t>INV-20151</t>
  </si>
  <si>
    <t>EXP-5191</t>
  </si>
  <si>
    <t>INV-80836</t>
  </si>
  <si>
    <t>EXP-5190</t>
  </si>
  <si>
    <t>INV-15499</t>
  </si>
  <si>
    <t>EXP-5189</t>
  </si>
  <si>
    <t>INV-95799</t>
  </si>
  <si>
    <t>EXP-5188</t>
  </si>
  <si>
    <t>INV-26675</t>
  </si>
  <si>
    <t>EXP-5187</t>
  </si>
  <si>
    <t>INV-51160</t>
  </si>
  <si>
    <t>EXP-5186</t>
  </si>
  <si>
    <t>INV-38553</t>
  </si>
  <si>
    <t>EXP-5185</t>
  </si>
  <si>
    <t>INV-70650</t>
  </si>
  <si>
    <t>EXP-5184</t>
  </si>
  <si>
    <t>INV-26293</t>
  </si>
  <si>
    <t>EXP-5183</t>
  </si>
  <si>
    <t>INV-61721</t>
  </si>
  <si>
    <t>EXP-5182</t>
  </si>
  <si>
    <t>INV-46791</t>
  </si>
  <si>
    <t>EXP-5181</t>
  </si>
  <si>
    <t>INV-84488</t>
  </si>
  <si>
    <t>EXP-5180</t>
  </si>
  <si>
    <t>INV-24314</t>
  </si>
  <si>
    <t>EXP-5179</t>
  </si>
  <si>
    <t>INV-38382</t>
  </si>
  <si>
    <t>EXP-5178</t>
  </si>
  <si>
    <t>INV-80981</t>
  </si>
  <si>
    <t>EXP-5177</t>
  </si>
  <si>
    <t>INV-39418</t>
  </si>
  <si>
    <t>EXP-5176</t>
  </si>
  <si>
    <t>INV-46581</t>
  </si>
  <si>
    <t>EXP-5175</t>
  </si>
  <si>
    <t>INV-75392</t>
  </si>
  <si>
    <t>EXP-5174</t>
  </si>
  <si>
    <t>INV-28607</t>
  </si>
  <si>
    <t>EXP-5173</t>
  </si>
  <si>
    <t>INV-36680</t>
  </si>
  <si>
    <t>EXP-5172</t>
  </si>
  <si>
    <t>INV-51793</t>
  </si>
  <si>
    <t>EXP-5171</t>
  </si>
  <si>
    <t>INV-49677</t>
  </si>
  <si>
    <t>EXP-5170</t>
  </si>
  <si>
    <t>INV-81256</t>
  </si>
  <si>
    <t>EXP-5169</t>
  </si>
  <si>
    <t>INV-48327</t>
  </si>
  <si>
    <t>EXP-5168</t>
  </si>
  <si>
    <t>INV-26608</t>
  </si>
  <si>
    <t>EXP-5167</t>
  </si>
  <si>
    <t>INV-80283</t>
  </si>
  <si>
    <t>EXP-5166</t>
  </si>
  <si>
    <t>INV-54974</t>
  </si>
  <si>
    <t>EXP-5165</t>
  </si>
  <si>
    <t>INV-65945</t>
  </si>
  <si>
    <t>EXP-5164</t>
  </si>
  <si>
    <t>INV-59727</t>
  </si>
  <si>
    <t>EXP-5163</t>
  </si>
  <si>
    <t>INV-39852</t>
  </si>
  <si>
    <t>EXP-5162</t>
  </si>
  <si>
    <t>INV-14666</t>
  </si>
  <si>
    <t>EXP-5161</t>
  </si>
  <si>
    <t>INV-64557</t>
  </si>
  <si>
    <t>EXP-5160</t>
  </si>
  <si>
    <t>INV-53202</t>
  </si>
  <si>
    <t>EXP-5159</t>
  </si>
  <si>
    <t>INV-65234</t>
  </si>
  <si>
    <t>EXP-5158</t>
  </si>
  <si>
    <t>INV-17424</t>
  </si>
  <si>
    <t>EXP-5157</t>
  </si>
  <si>
    <t>INV-80047</t>
  </si>
  <si>
    <t>EXP-5156</t>
  </si>
  <si>
    <t>INV-47997</t>
  </si>
  <si>
    <t>EXP-5155</t>
  </si>
  <si>
    <t>INV-23226</t>
  </si>
  <si>
    <t>EXP-5154</t>
  </si>
  <si>
    <t>INV-66034</t>
  </si>
  <si>
    <t>EXP-5153</t>
  </si>
  <si>
    <t>INV-84759</t>
  </si>
  <si>
    <t>EXP-5152</t>
  </si>
  <si>
    <t>INV-84487</t>
  </si>
  <si>
    <t>EXP-5151</t>
  </si>
  <si>
    <t>INV-13177</t>
  </si>
  <si>
    <t>EXP-5150</t>
  </si>
  <si>
    <t>EXP-5149</t>
  </si>
  <si>
    <t>INV-93544</t>
  </si>
  <si>
    <t>EXP-5148</t>
  </si>
  <si>
    <t>INV-89499</t>
  </si>
  <si>
    <t>EXP-5147</t>
  </si>
  <si>
    <t>INV-90203</t>
  </si>
  <si>
    <t>EXP-5146</t>
  </si>
  <si>
    <t>INV-41013</t>
  </si>
  <si>
    <t>EXP-5145</t>
  </si>
  <si>
    <t>INV-30863</t>
  </si>
  <si>
    <t>EXP-5144</t>
  </si>
  <si>
    <t>INV-87182</t>
  </si>
  <si>
    <t>EXP-5143</t>
  </si>
  <si>
    <t>INV-89408</t>
  </si>
  <si>
    <t>EXP-5142</t>
  </si>
  <si>
    <t>INV-46482</t>
  </si>
  <si>
    <t>EXP-5141</t>
  </si>
  <si>
    <t>INV-61199</t>
  </si>
  <si>
    <t>EXP-5140</t>
  </si>
  <si>
    <t>INV-30750</t>
  </si>
  <si>
    <t>EXP-5139</t>
  </si>
  <si>
    <t>INV-68258</t>
  </si>
  <si>
    <t>EXP-5138</t>
  </si>
  <si>
    <t>INV-13666</t>
  </si>
  <si>
    <t>EXP-5137</t>
  </si>
  <si>
    <t>INV-61273</t>
  </si>
  <si>
    <t>EXP-5136</t>
  </si>
  <si>
    <t>INV-48015</t>
  </si>
  <si>
    <t>EXP-5135</t>
  </si>
  <si>
    <t>INV-28571</t>
  </si>
  <si>
    <t>EXP-5134</t>
  </si>
  <si>
    <t>INV-90315</t>
  </si>
  <si>
    <t>EXP-5133</t>
  </si>
  <si>
    <t>INV-25966</t>
  </si>
  <si>
    <t>EXP-5132</t>
  </si>
  <si>
    <t>INV-42401</t>
  </si>
  <si>
    <t>EXP-5131</t>
  </si>
  <si>
    <t>INV-36306</t>
  </si>
  <si>
    <t>EXP-5130</t>
  </si>
  <si>
    <t>INV-98562</t>
  </si>
  <si>
    <t>EXP-5129</t>
  </si>
  <si>
    <t>INV-16949</t>
  </si>
  <si>
    <t>EXP-5128</t>
  </si>
  <si>
    <t>INV-22766</t>
  </si>
  <si>
    <t>EXP-5127</t>
  </si>
  <si>
    <t>INV-70661</t>
  </si>
  <si>
    <t>EXP-5126</t>
  </si>
  <si>
    <t>INV-81207</t>
  </si>
  <si>
    <t>EXP-5125</t>
  </si>
  <si>
    <t>INV-65170</t>
  </si>
  <si>
    <t>EXP-5124</t>
  </si>
  <si>
    <t>INV-66055</t>
  </si>
  <si>
    <t>EXP-5123</t>
  </si>
  <si>
    <t>INV-22588</t>
  </si>
  <si>
    <t>EXP-5122</t>
  </si>
  <si>
    <t>INV-21219</t>
  </si>
  <si>
    <t>EXP-5121</t>
  </si>
  <si>
    <t>INV-28242</t>
  </si>
  <si>
    <t>EXP-5120</t>
  </si>
  <si>
    <t>INV-22863</t>
  </si>
  <si>
    <t>EXP-5119</t>
  </si>
  <si>
    <t>INV-72020</t>
  </si>
  <si>
    <t>EXP-5118</t>
  </si>
  <si>
    <t>INV-28696</t>
  </si>
  <si>
    <t>EXP-5117</t>
  </si>
  <si>
    <t>INV-28051</t>
  </si>
  <si>
    <t>EXP-5116</t>
  </si>
  <si>
    <t>INV-50084</t>
  </si>
  <si>
    <t>EXP-5115</t>
  </si>
  <si>
    <t>INV-18469</t>
  </si>
  <si>
    <t>EXP-5114</t>
  </si>
  <si>
    <t>INV-78575</t>
  </si>
  <si>
    <t>EXP-5113</t>
  </si>
  <si>
    <t>INV-47802</t>
  </si>
  <si>
    <t>EXP-5112</t>
  </si>
  <si>
    <t>INV-15387</t>
  </si>
  <si>
    <t>EXP-5111</t>
  </si>
  <si>
    <t>INV-44774</t>
  </si>
  <si>
    <t>EXP-5110</t>
  </si>
  <si>
    <t>INV-21701</t>
  </si>
  <si>
    <t>EXP-5109</t>
  </si>
  <si>
    <t>INV-75251</t>
  </si>
  <si>
    <t>EXP-5108</t>
  </si>
  <si>
    <t>INV-99887</t>
  </si>
  <si>
    <t>EXP-5107</t>
  </si>
  <si>
    <t>INV-49470</t>
  </si>
  <si>
    <t>EXP-5106</t>
  </si>
  <si>
    <t>INV-55977</t>
  </si>
  <si>
    <t>EXP-5105</t>
  </si>
  <si>
    <t>INV-31928</t>
  </si>
  <si>
    <t>EXP-5104</t>
  </si>
  <si>
    <t>INV-15921</t>
  </si>
  <si>
    <t>EXP-5103</t>
  </si>
  <si>
    <t>INV-56156</t>
  </si>
  <si>
    <t>EXP-5102</t>
  </si>
  <si>
    <t>INV-66088</t>
  </si>
  <si>
    <t>EXP-5101</t>
  </si>
  <si>
    <t>INV-99318</t>
  </si>
  <si>
    <t>EXP-5100</t>
  </si>
  <si>
    <t>INV-34258</t>
  </si>
  <si>
    <t>EXP-5099</t>
  </si>
  <si>
    <t>INV-32417</t>
  </si>
  <si>
    <t>EXP-5098</t>
  </si>
  <si>
    <t>INV-23278</t>
  </si>
  <si>
    <t>EXP-5097</t>
  </si>
  <si>
    <t>INV-46105</t>
  </si>
  <si>
    <t>EXP-5096</t>
  </si>
  <si>
    <t>INV-25097</t>
  </si>
  <si>
    <t>EXP-5095</t>
  </si>
  <si>
    <t>INV-74699</t>
  </si>
  <si>
    <t>EXP-5094</t>
  </si>
  <si>
    <t>INV-65389</t>
  </si>
  <si>
    <t>EXP-5093</t>
  </si>
  <si>
    <t>INV-76574</t>
  </si>
  <si>
    <t>EXP-5092</t>
  </si>
  <si>
    <t>INV-82129</t>
  </si>
  <si>
    <t>EXP-5091</t>
  </si>
  <si>
    <t>INV-44964</t>
  </si>
  <si>
    <t>EXP-5090</t>
  </si>
  <si>
    <t>INV-29305</t>
  </si>
  <si>
    <t>EXP-5089</t>
  </si>
  <si>
    <t>INV-36610</t>
  </si>
  <si>
    <t>EXP-5088</t>
  </si>
  <si>
    <t>INV-23849</t>
  </si>
  <si>
    <t>EXP-5087</t>
  </si>
  <si>
    <t>INV-37349</t>
  </si>
  <si>
    <t>EXP-5086</t>
  </si>
  <si>
    <t>INV-97883</t>
  </si>
  <si>
    <t>EXP-5085</t>
  </si>
  <si>
    <t>INV-96439</t>
  </si>
  <si>
    <t>EXP-5084</t>
  </si>
  <si>
    <t>INV-22032</t>
  </si>
  <si>
    <t>EXP-5083</t>
  </si>
  <si>
    <t>INV-41525</t>
  </si>
  <si>
    <t>EXP-5082</t>
  </si>
  <si>
    <t>INV-51855</t>
  </si>
  <si>
    <t>EXP-5081</t>
  </si>
  <si>
    <t>INV-53165</t>
  </si>
  <si>
    <t>EXP-5080</t>
  </si>
  <si>
    <t>INV-16880</t>
  </si>
  <si>
    <t>EXP-5079</t>
  </si>
  <si>
    <t>INV-39667</t>
  </si>
  <si>
    <t>EXP-5078</t>
  </si>
  <si>
    <t>INV-23466</t>
  </si>
  <si>
    <t>EXP-5077</t>
  </si>
  <si>
    <t>INV-61554</t>
  </si>
  <si>
    <t>EXP-5076</t>
  </si>
  <si>
    <t>INV-55327</t>
  </si>
  <si>
    <t>EXP-5075</t>
  </si>
  <si>
    <t>INV-19103</t>
  </si>
  <si>
    <t>EXP-5074</t>
  </si>
  <si>
    <t>INV-27178</t>
  </si>
  <si>
    <t>EXP-5073</t>
  </si>
  <si>
    <t>INV-12787</t>
  </si>
  <si>
    <t>EXP-5072</t>
  </si>
  <si>
    <t>INV-25631</t>
  </si>
  <si>
    <t>EXP-5071</t>
  </si>
  <si>
    <t>INV-35971</t>
  </si>
  <si>
    <t>EXP-5070</t>
  </si>
  <si>
    <t>INV-46444</t>
  </si>
  <si>
    <t>EXP-5069</t>
  </si>
  <si>
    <t>INV-18681</t>
  </si>
  <si>
    <t>EXP-5068</t>
  </si>
  <si>
    <t>INV-11428</t>
  </si>
  <si>
    <t>EXP-5067</t>
  </si>
  <si>
    <t>INV-38204</t>
  </si>
  <si>
    <t>EXP-5066</t>
  </si>
  <si>
    <t>INV-25027</t>
  </si>
  <si>
    <t>EXP-5065</t>
  </si>
  <si>
    <t>INV-14424</t>
  </si>
  <si>
    <t>EXP-5064</t>
  </si>
  <si>
    <t>INV-84336</t>
  </si>
  <si>
    <t>EXP-5063</t>
  </si>
  <si>
    <t>INV-65540</t>
  </si>
  <si>
    <t>Training expense - Operations</t>
  </si>
  <si>
    <t>EXP-5062</t>
  </si>
  <si>
    <t>INV-86499</t>
  </si>
  <si>
    <t>EXP-5061</t>
  </si>
  <si>
    <t>INV-77194</t>
  </si>
  <si>
    <t>EXP-5060</t>
  </si>
  <si>
    <t>INV-36114</t>
  </si>
  <si>
    <t>EXP-5059</t>
  </si>
  <si>
    <t>INV-38804</t>
  </si>
  <si>
    <t>EXP-5058</t>
  </si>
  <si>
    <t>INV-29968</t>
  </si>
  <si>
    <t>EXP-5057</t>
  </si>
  <si>
    <t>INV-43357</t>
  </si>
  <si>
    <t>EXP-5056</t>
  </si>
  <si>
    <t>INV-14122</t>
  </si>
  <si>
    <t>EXP-5055</t>
  </si>
  <si>
    <t>INV-59185</t>
  </si>
  <si>
    <t>EXP-5054</t>
  </si>
  <si>
    <t>INV-74361</t>
  </si>
  <si>
    <t>EXP-5053</t>
  </si>
  <si>
    <t>INV-22160</t>
  </si>
  <si>
    <t>EXP-5052</t>
  </si>
  <si>
    <t>INV-23555</t>
  </si>
  <si>
    <t>EXP-5051</t>
  </si>
  <si>
    <t>INV-59559</t>
  </si>
  <si>
    <t>EXP-5050</t>
  </si>
  <si>
    <t>INV-34452</t>
  </si>
  <si>
    <t>EXP-5049</t>
  </si>
  <si>
    <t>INV-81260</t>
  </si>
  <si>
    <t>EXP-5048</t>
  </si>
  <si>
    <t>INV-22223</t>
  </si>
  <si>
    <t>EXP-5047</t>
  </si>
  <si>
    <t>INV-25515</t>
  </si>
  <si>
    <t>EXP-5046</t>
  </si>
  <si>
    <t>INV-32769</t>
  </si>
  <si>
    <t>EXP-5045</t>
  </si>
  <si>
    <t>INV-35252</t>
  </si>
  <si>
    <t>EXP-5044</t>
  </si>
  <si>
    <t>INV-51611</t>
  </si>
  <si>
    <t>EXP-5043</t>
  </si>
  <si>
    <t>INV-10544</t>
  </si>
  <si>
    <t>EXP-5042</t>
  </si>
  <si>
    <t>INV-39351</t>
  </si>
  <si>
    <t>EXP-5041</t>
  </si>
  <si>
    <t>INV-26310</t>
  </si>
  <si>
    <t>EXP-5040</t>
  </si>
  <si>
    <t>INV-37770</t>
  </si>
  <si>
    <t>EXP-5039</t>
  </si>
  <si>
    <t>INV-91766</t>
  </si>
  <si>
    <t>EXP-5038</t>
  </si>
  <si>
    <t>INV-21484</t>
  </si>
  <si>
    <t>EXP-5037</t>
  </si>
  <si>
    <t>INV-60012</t>
  </si>
  <si>
    <t>EXP-5036</t>
  </si>
  <si>
    <t>INV-70138</t>
  </si>
  <si>
    <t>EXP-5035</t>
  </si>
  <si>
    <t>INV-64270</t>
  </si>
  <si>
    <t>EXP-5034</t>
  </si>
  <si>
    <t>INV-12122</t>
  </si>
  <si>
    <t>EXP-5033</t>
  </si>
  <si>
    <t>INV-88766</t>
  </si>
  <si>
    <t>EXP-5032</t>
  </si>
  <si>
    <t>INV-22772</t>
  </si>
  <si>
    <t>EXP-5031</t>
  </si>
  <si>
    <t>INV-44446</t>
  </si>
  <si>
    <t>EXP-5030</t>
  </si>
  <si>
    <t>INV-11859</t>
  </si>
  <si>
    <t>EXP-5029</t>
  </si>
  <si>
    <t>INV-88266</t>
  </si>
  <si>
    <t>EXP-5028</t>
  </si>
  <si>
    <t>INV-72324</t>
  </si>
  <si>
    <t>EXP-5027</t>
  </si>
  <si>
    <t>INV-66168</t>
  </si>
  <si>
    <t>EXP-5026</t>
  </si>
  <si>
    <t>INV-69168</t>
  </si>
  <si>
    <t>EXP-5025</t>
  </si>
  <si>
    <t>INV-93320</t>
  </si>
  <si>
    <t>EXP-5024</t>
  </si>
  <si>
    <t>INV-37973</t>
  </si>
  <si>
    <t>EXP-5023</t>
  </si>
  <si>
    <t>INV-84475</t>
  </si>
  <si>
    <t>EXP-5022</t>
  </si>
  <si>
    <t>INV-69582</t>
  </si>
  <si>
    <t>EXP-5021</t>
  </si>
  <si>
    <t>INV-51587</t>
  </si>
  <si>
    <t>EXP-5020</t>
  </si>
  <si>
    <t>INV-33628</t>
  </si>
  <si>
    <t>EXP-5019</t>
  </si>
  <si>
    <t>INV-70591</t>
  </si>
  <si>
    <t>EXP-5018</t>
  </si>
  <si>
    <t>INV-48097</t>
  </si>
  <si>
    <t>EXP-5017</t>
  </si>
  <si>
    <t>INV-91345</t>
  </si>
  <si>
    <t>EXP-5016</t>
  </si>
  <si>
    <t>INV-77171</t>
  </si>
  <si>
    <t>EXP-5015</t>
  </si>
  <si>
    <t>INV-62551</t>
  </si>
  <si>
    <t>EXP-5014</t>
  </si>
  <si>
    <t>INV-43557</t>
  </si>
  <si>
    <t>EXP-5013</t>
  </si>
  <si>
    <t>INV-85564</t>
  </si>
  <si>
    <t>EXP-5012</t>
  </si>
  <si>
    <t>INV-75393</t>
  </si>
  <si>
    <t>EXP-5011</t>
  </si>
  <si>
    <t>INV-92285</t>
  </si>
  <si>
    <t>EXP-5010</t>
  </si>
  <si>
    <t>INV-66479</t>
  </si>
  <si>
    <t>EXP-5009</t>
  </si>
  <si>
    <t>INV-31108</t>
  </si>
  <si>
    <t>EXP-5008</t>
  </si>
  <si>
    <t>INV-29862</t>
  </si>
  <si>
    <t>EXP-5007</t>
  </si>
  <si>
    <t>INV-13104</t>
  </si>
  <si>
    <t>EXP-5006</t>
  </si>
  <si>
    <t>INV-98432</t>
  </si>
  <si>
    <t>EXP-5005</t>
  </si>
  <si>
    <t>INV-47015</t>
  </si>
  <si>
    <t>EXP-5004</t>
  </si>
  <si>
    <t>INV-84029</t>
  </si>
  <si>
    <t>EXP-5003</t>
  </si>
  <si>
    <t>INV-82311</t>
  </si>
  <si>
    <t>EXP-5002</t>
  </si>
  <si>
    <t>INV-46989</t>
  </si>
  <si>
    <t>EXP-5001</t>
  </si>
  <si>
    <t>Month</t>
  </si>
  <si>
    <t>Invoice Number</t>
  </si>
  <si>
    <t>Vendor Name</t>
  </si>
  <si>
    <t>Budget Remaining</t>
  </si>
  <si>
    <t>Budget Allocated</t>
  </si>
  <si>
    <t>Approved</t>
  </si>
  <si>
    <t>Payment Method</t>
  </si>
  <si>
    <t>Amount (INR)</t>
  </si>
  <si>
    <t>Description</t>
  </si>
  <si>
    <t>Category</t>
  </si>
  <si>
    <t>Department</t>
  </si>
  <si>
    <t>Expense ID</t>
  </si>
  <si>
    <t>Row Labels</t>
  </si>
  <si>
    <t>Count of Expense ID</t>
  </si>
  <si>
    <t>Grand Total</t>
  </si>
  <si>
    <t>Sum of Amount (INR)</t>
  </si>
  <si>
    <t>Sum of Budget Allocated</t>
  </si>
  <si>
    <t>Sum of Budget Remaining</t>
  </si>
  <si>
    <t>Average of Amount (INR)</t>
  </si>
  <si>
    <t>Sums of pivot Table</t>
  </si>
  <si>
    <t>Average of pivot Tables</t>
  </si>
  <si>
    <t>Count in Datas</t>
  </si>
  <si>
    <t>Budget Status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</si>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</sst>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 #,##0;&quot;₹&quot;\ \-#,##0"/>
    <numFmt numFmtId="43" formatCode="_ * #,##0.00_ ;_ * \-#,##0.00_ ;_ * &quot;-&quot;??_ ;_ @_ "/>
    <numFmt numFmtId="165" formatCode="&quot;₹&quot;\ #,##0"/>
    <numFmt numFmtId="167" formatCode="&quot;₹&quot;\ #,###\ &quot;L&quot;"/>
    <numFmt numFmtId="169" formatCode="_ &quot;₹&quot;\ * #,##0\ ;_ &quot;₹&quot;\ * \-#,##0.00_ ;_ &quot;₹&quot;\ * &quot;-&quot;??_ ;_ @_ "/>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1" tint="0.49998474074526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4">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xf numFmtId="0" fontId="0" fillId="0" borderId="0" xfId="0" applyAlignment="1">
      <alignment horizontal="center"/>
    </xf>
    <xf numFmtId="0" fontId="0" fillId="2" borderId="0" xfId="0" applyFill="1" applyAlignment="1">
      <alignment horizontal="center"/>
    </xf>
    <xf numFmtId="0" fontId="0" fillId="2" borderId="0" xfId="0" applyFill="1"/>
    <xf numFmtId="165" fontId="0" fillId="0" borderId="0" xfId="0" applyNumberFormat="1"/>
    <xf numFmtId="5" fontId="1" fillId="0" borderId="0" xfId="0" applyNumberFormat="1" applyFont="1"/>
    <xf numFmtId="167" fontId="0" fillId="0" borderId="0" xfId="0" applyNumberFormat="1"/>
    <xf numFmtId="169" fontId="0" fillId="0" borderId="0" xfId="0" applyNumberFormat="1"/>
    <xf numFmtId="0" fontId="0" fillId="3" borderId="0" xfId="0" applyFill="1" applyAlignment="1">
      <alignment horizontal="center"/>
    </xf>
    <xf numFmtId="43" fontId="0" fillId="0" borderId="0" xfId="0" applyNumberFormat="1"/>
  </cellXfs>
  <cellStyles count="1">
    <cellStyle name="Normal" xfId="0" builtinId="0"/>
  </cellStyles>
  <dxfs count="128">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fill>
        <patternFill>
          <bgColor rgb="FFFFFFC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2" tint="-0.24994659260841701"/>
        </patternFill>
      </fill>
    </dxf>
    <dxf>
      <fill>
        <patternFill>
          <bgColor rgb="FFCC99FF"/>
        </patternFill>
      </fill>
    </dxf>
    <dxf>
      <fill>
        <patternFill>
          <bgColor theme="5" tint="0.59996337778862885"/>
        </patternFill>
      </fill>
    </dxf>
    <dxf>
      <fill>
        <patternFill>
          <bgColor rgb="FFFFCCFF"/>
        </patternFill>
      </fill>
    </dxf>
    <dxf>
      <fill>
        <patternFill>
          <bgColor rgb="FFE96DD7"/>
        </patternFill>
      </fill>
    </dxf>
    <dxf>
      <fill>
        <patternFill>
          <bgColor rgb="FFFF6699"/>
        </patternFill>
      </fill>
    </dxf>
    <dxf>
      <fill>
        <patternFill>
          <bgColor rgb="FF99CC00"/>
        </patternFill>
      </fill>
    </dxf>
    <dxf>
      <fill>
        <patternFill>
          <bgColor rgb="FFFFFF99"/>
        </patternFill>
      </fill>
    </dxf>
    <dxf>
      <fill>
        <patternFill>
          <bgColor rgb="FFCC9900"/>
        </patternFill>
      </fill>
    </dxf>
    <dxf>
      <fill>
        <patternFill>
          <bgColor rgb="FFFFCCCC"/>
        </patternFill>
      </fill>
    </dxf>
    <dxf>
      <fill>
        <patternFill>
          <bgColor rgb="FF6699FF"/>
        </patternFill>
      </fill>
    </dxf>
    <dxf>
      <fill>
        <patternFill>
          <bgColor theme="6" tint="0.79998168889431442"/>
        </patternFill>
      </fill>
    </dxf>
    <dxf>
      <fill>
        <patternFill>
          <bgColor rgb="FF00FFCC"/>
        </patternFill>
      </fill>
    </dxf>
    <dxf>
      <fill>
        <patternFill>
          <bgColor rgb="FF0099CC"/>
        </patternFill>
      </fill>
    </dxf>
    <dxf>
      <fill>
        <patternFill>
          <bgColor theme="5" tint="0.79998168889431442"/>
        </patternFill>
      </fill>
    </dxf>
    <dxf>
      <fill>
        <patternFill>
          <bgColor rgb="FFFFFFCC"/>
        </patternFill>
      </fill>
    </dxf>
    <dxf>
      <fill>
        <patternFill>
          <bgColor rgb="FFCC00CC"/>
        </patternFill>
      </fill>
    </dxf>
    <dxf>
      <fill>
        <patternFill patternType="solid">
          <fgColor auto="1"/>
          <bgColor rgb="FFFF6699"/>
        </patternFill>
      </fill>
    </dxf>
    <dxf>
      <font>
        <color rgb="FF9C5700"/>
      </font>
      <fill>
        <patternFill>
          <bgColor rgb="FFFFEB9C"/>
        </patternFill>
      </fill>
    </dxf>
    <dxf>
      <fill>
        <patternFill>
          <bgColor rgb="FFFFFF99"/>
        </patternFill>
      </fill>
    </dxf>
    <dxf>
      <fill>
        <patternFill>
          <bgColor rgb="FFFFC7CE"/>
        </patternFill>
      </fill>
    </dxf>
    <dxf>
      <fill>
        <patternFill>
          <bgColor rgb="FFA9E9BD"/>
        </patternFill>
      </fill>
    </dxf>
    <dxf>
      <fill>
        <patternFill>
          <bgColor theme="4" tint="0.39994506668294322"/>
        </patternFill>
      </fill>
    </dxf>
    <dxf>
      <fill>
        <patternFill>
          <bgColor theme="5" tint="0.79998168889431442"/>
        </patternFill>
      </fill>
    </dxf>
    <dxf>
      <font>
        <color rgb="FF9C5700"/>
      </font>
      <fill>
        <patternFill>
          <bgColor rgb="FFFFEB9C"/>
        </patternFill>
      </fill>
    </dxf>
    <dxf>
      <fill>
        <patternFill>
          <bgColor theme="3" tint="0.89996032593768116"/>
        </patternFill>
      </fill>
    </dxf>
    <dxf>
      <fill>
        <patternFill>
          <bgColor theme="8" tint="0.79998168889431442"/>
        </patternFill>
      </fill>
    </dxf>
    <dxf>
      <font>
        <color rgb="FF006100"/>
      </font>
      <fill>
        <patternFill>
          <bgColor rgb="FFC6EFCE"/>
        </patternFill>
      </fill>
    </dxf>
    <dxf>
      <fill>
        <patternFill>
          <bgColor theme="9" tint="0.59996337778862885"/>
        </patternFill>
      </fill>
    </dxf>
    <dxf>
      <fill>
        <patternFill>
          <bgColor theme="2" tint="-9.9948118533890809E-2"/>
        </patternFill>
      </fill>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4"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2" formatCode="_ &quot;₹&quot;\ * #,##0_ ;_ &quot;₹&quot;\ * \-#,##0_ ;_ &quot;₹&quot;\ * &quot;-&quot;_ ;_ @_ "/>
    </dxf>
    <dxf>
      <numFmt numFmtId="10" formatCode="&quot;₹&quot;\ #,##0;[Red]&quot;₹&quot;\ \-#,##0"/>
    </dxf>
    <dxf>
      <numFmt numFmtId="169" formatCode="_ &quot;₹&quot;\ * #,##0\ ;_ &quot;₹&quot;\ * \-#,##0.00_ ;_ &quot;₹&quot;\ * &quot;-&quot;??_ ;_ @_ "/>
    </dxf>
    <dxf>
      <numFmt numFmtId="167" formatCode="&quot;₹&quot;\ #,###\ &quot;L&quot;"/>
    </dxf>
    <dxf>
      <numFmt numFmtId="9" formatCode="&quot;₹&quot;\ #,##0;&quot;₹&quot;\ \-#,##0"/>
    </dxf>
    <dxf>
      <font>
        <b/>
      </font>
    </dxf>
    <dxf>
      <numFmt numFmtId="0" formatCode="General"/>
    </dxf>
    <dxf>
      <numFmt numFmtId="14" formatCode="0.00%"/>
    </dxf>
    <dxf>
      <numFmt numFmtId="14" formatCode="0.00%"/>
    </dxf>
    <dxf>
      <numFmt numFmtId="14" formatCode="0.00%"/>
    </dxf>
    <dxf>
      <numFmt numFmtId="14" formatCode="0.00%"/>
    </dxf>
    <dxf>
      <numFmt numFmtId="0" formatCode="General"/>
    </dxf>
  </dxfs>
  <tableStyles count="1" defaultTableStyle="TableStyleMedium2" defaultPivotStyle="PivotStyleLight16">
    <tableStyle name="Slicer Style 1" pivot="0" table="0" count="0" xr9:uid="{14015B1B-D53D-419C-9C9E-CF6E9851515E}"/>
  </tableStyles>
  <colors>
    <mruColors>
      <color rgb="FFCC6600"/>
      <color rgb="FFFFFFCC"/>
      <color rgb="FFFFCCCC"/>
      <color rgb="FFCC99FF"/>
      <color rgb="FFFFFF99"/>
      <color rgb="FFFFCC66"/>
      <color rgb="FF0099CC"/>
      <color rgb="FF0099FF"/>
      <color rgb="FFFF6699"/>
      <color rgb="FFFF33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'!$B$37:$B$47</c:f>
              <c:strCache>
                <c:ptCount val="10"/>
                <c:pt idx="0">
                  <c:v>AdPro Media</c:v>
                </c:pt>
                <c:pt idx="1">
                  <c:v>CloudSoft</c:v>
                </c:pt>
                <c:pt idx="2">
                  <c:v>GlobalTravel</c:v>
                </c:pt>
                <c:pt idx="3">
                  <c:v>HardwarePro</c:v>
                </c:pt>
                <c:pt idx="4">
                  <c:v>PowerGrid Co</c:v>
                </c:pt>
                <c:pt idx="5">
                  <c:v>PrintZone</c:v>
                </c:pt>
                <c:pt idx="6">
                  <c:v>QuickTravel</c:v>
                </c:pt>
                <c:pt idx="7">
                  <c:v>SkillUp Academy</c:v>
                </c:pt>
                <c:pt idx="8">
                  <c:v>Strategy Consultants</c:v>
                </c:pt>
                <c:pt idx="9">
                  <c:v>TechMart India</c:v>
                </c:pt>
              </c:strCache>
            </c:strRef>
          </c:cat>
          <c:val>
            <c:numRef>
              <c:f>'pivot '!$C$37:$C$47</c:f>
              <c:numCache>
                <c:formatCode>0.00%</c:formatCode>
                <c:ptCount val="10"/>
                <c:pt idx="0">
                  <c:v>48754.88636363636</c:v>
                </c:pt>
                <c:pt idx="1">
                  <c:v>45443.270270270274</c:v>
                </c:pt>
                <c:pt idx="2">
                  <c:v>43827.972972972973</c:v>
                </c:pt>
                <c:pt idx="3">
                  <c:v>39041.333333333336</c:v>
                </c:pt>
                <c:pt idx="4">
                  <c:v>55267.106382978724</c:v>
                </c:pt>
                <c:pt idx="5">
                  <c:v>36996.428571428572</c:v>
                </c:pt>
                <c:pt idx="6">
                  <c:v>42608.256410256414</c:v>
                </c:pt>
                <c:pt idx="7">
                  <c:v>41859.021276595748</c:v>
                </c:pt>
                <c:pt idx="8">
                  <c:v>39384.642857142855</c:v>
                </c:pt>
                <c:pt idx="9">
                  <c:v>48199.809523809527</c:v>
                </c:pt>
              </c:numCache>
            </c:numRef>
          </c:val>
          <c:extLst>
            <c:ext xmlns:c16="http://schemas.microsoft.com/office/drawing/2014/chart" uri="{C3380CC4-5D6E-409C-BE32-E72D297353CC}">
              <c16:uniqueId val="{00000000-E5F7-4DA4-B43C-462D1893A5C0}"/>
            </c:ext>
          </c:extLst>
        </c:ser>
        <c:dLbls>
          <c:showLegendKey val="0"/>
          <c:showVal val="0"/>
          <c:showCatName val="0"/>
          <c:showSerName val="0"/>
          <c:showPercent val="0"/>
          <c:showBubbleSize val="0"/>
        </c:dLbls>
        <c:gapWidth val="100"/>
        <c:overlap val="-24"/>
        <c:axId val="698416352"/>
        <c:axId val="603608912"/>
      </c:barChart>
      <c:catAx>
        <c:axId val="698416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608912"/>
        <c:crosses val="autoZero"/>
        <c:auto val="1"/>
        <c:lblAlgn val="ctr"/>
        <c:lblOffset val="100"/>
        <c:noMultiLvlLbl val="0"/>
      </c:catAx>
      <c:valAx>
        <c:axId val="6036089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41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noFill/>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'!$B$28:$B$34</c:f>
              <c:strCache>
                <c:ptCount val="6"/>
                <c:pt idx="0">
                  <c:v>Engineering</c:v>
                </c:pt>
                <c:pt idx="1">
                  <c:v>Finance</c:v>
                </c:pt>
                <c:pt idx="2">
                  <c:v>HR</c:v>
                </c:pt>
                <c:pt idx="3">
                  <c:v>Marketing</c:v>
                </c:pt>
                <c:pt idx="4">
                  <c:v>Operations</c:v>
                </c:pt>
                <c:pt idx="5">
                  <c:v>Sales</c:v>
                </c:pt>
              </c:strCache>
            </c:strRef>
          </c:cat>
          <c:val>
            <c:numRef>
              <c:f>'pivot '!$C$28:$C$34</c:f>
              <c:numCache>
                <c:formatCode>0.00%</c:formatCode>
                <c:ptCount val="6"/>
                <c:pt idx="0">
                  <c:v>48787.17391304348</c:v>
                </c:pt>
                <c:pt idx="1">
                  <c:v>41445.634920634919</c:v>
                </c:pt>
                <c:pt idx="2">
                  <c:v>50942.591549295772</c:v>
                </c:pt>
                <c:pt idx="3">
                  <c:v>40679.405405405407</c:v>
                </c:pt>
                <c:pt idx="4">
                  <c:v>46480.847222222219</c:v>
                </c:pt>
                <c:pt idx="5">
                  <c:v>37181.393939393936</c:v>
                </c:pt>
              </c:numCache>
            </c:numRef>
          </c:val>
          <c:extLst>
            <c:ext xmlns:c16="http://schemas.microsoft.com/office/drawing/2014/chart" uri="{C3380CC4-5D6E-409C-BE32-E72D297353CC}">
              <c16:uniqueId val="{00000000-18B1-434F-B993-4F19B68B7757}"/>
            </c:ext>
          </c:extLst>
        </c:ser>
        <c:dLbls>
          <c:showLegendKey val="0"/>
          <c:showVal val="0"/>
          <c:showCatName val="0"/>
          <c:showSerName val="0"/>
          <c:showPercent val="0"/>
          <c:showBubbleSize val="0"/>
        </c:dLbls>
        <c:gapWidth val="150"/>
        <c:overlap val="100"/>
        <c:axId val="698276784"/>
        <c:axId val="603514352"/>
      </c:barChart>
      <c:catAx>
        <c:axId val="69827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514352"/>
        <c:crosses val="autoZero"/>
        <c:auto val="1"/>
        <c:lblAlgn val="ctr"/>
        <c:lblOffset val="100"/>
        <c:noMultiLvlLbl val="0"/>
      </c:catAx>
      <c:valAx>
        <c:axId val="6035143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7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noFill/>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'!$A$4:$A$10</c:f>
              <c:strCache>
                <c:ptCount val="6"/>
                <c:pt idx="0">
                  <c:v>Engineering</c:v>
                </c:pt>
                <c:pt idx="1">
                  <c:v>Finance</c:v>
                </c:pt>
                <c:pt idx="2">
                  <c:v>HR</c:v>
                </c:pt>
                <c:pt idx="3">
                  <c:v>Marketing</c:v>
                </c:pt>
                <c:pt idx="4">
                  <c:v>Operations</c:v>
                </c:pt>
                <c:pt idx="5">
                  <c:v>Sales</c:v>
                </c:pt>
              </c:strCache>
            </c:strRef>
          </c:cat>
          <c:val>
            <c:numRef>
              <c:f>'pivot '!$B$4:$B$10</c:f>
              <c:numCache>
                <c:formatCode>"₹"\ #,##0</c:formatCode>
                <c:ptCount val="6"/>
                <c:pt idx="0">
                  <c:v>3366315</c:v>
                </c:pt>
                <c:pt idx="1">
                  <c:v>2611075</c:v>
                </c:pt>
                <c:pt idx="2">
                  <c:v>3616924</c:v>
                </c:pt>
                <c:pt idx="3">
                  <c:v>3010276</c:v>
                </c:pt>
                <c:pt idx="4">
                  <c:v>3346621</c:v>
                </c:pt>
                <c:pt idx="5">
                  <c:v>2453972</c:v>
                </c:pt>
              </c:numCache>
            </c:numRef>
          </c:val>
          <c:extLst>
            <c:ext xmlns:c16="http://schemas.microsoft.com/office/drawing/2014/chart" uri="{C3380CC4-5D6E-409C-BE32-E72D297353CC}">
              <c16:uniqueId val="{00000000-8CC4-44DE-A633-0DD854FBA36F}"/>
            </c:ext>
          </c:extLst>
        </c:ser>
        <c:dLbls>
          <c:showLegendKey val="0"/>
          <c:showVal val="0"/>
          <c:showCatName val="0"/>
          <c:showSerName val="0"/>
          <c:showPercent val="0"/>
          <c:showBubbleSize val="0"/>
        </c:dLbls>
        <c:gapWidth val="150"/>
        <c:overlap val="100"/>
        <c:axId val="598164576"/>
        <c:axId val="268831920"/>
      </c:barChart>
      <c:catAx>
        <c:axId val="598164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8831920"/>
        <c:crosses val="autoZero"/>
        <c:auto val="1"/>
        <c:lblAlgn val="ctr"/>
        <c:lblOffset val="100"/>
        <c:noMultiLvlLbl val="0"/>
      </c:catAx>
      <c:valAx>
        <c:axId val="2688319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164576"/>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noFill/>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w="38100">
          <a:noFill/>
        </a:ln>
        <a:effectLst/>
        <a:sp3d/>
      </c:spPr>
    </c:sideWall>
    <c:backWall>
      <c:thickness val="0"/>
      <c:spPr>
        <a:noFill/>
        <a:ln w="38100">
          <a:noFill/>
        </a:ln>
        <a:effectLst/>
        <a:sp3d/>
      </c:spPr>
    </c:backWall>
    <c:plotArea>
      <c:layout>
        <c:manualLayout>
          <c:layoutTarget val="inner"/>
          <c:xMode val="edge"/>
          <c:yMode val="edge"/>
          <c:x val="2.5762627007443077E-2"/>
          <c:y val="0.13944378815162872"/>
          <c:w val="0.70339014051999005"/>
          <c:h val="0.48973086095293716"/>
        </c:manualLayout>
      </c:layout>
      <c:bar3DChart>
        <c:barDir val="col"/>
        <c:grouping val="clustered"/>
        <c:varyColors val="0"/>
        <c:ser>
          <c:idx val="0"/>
          <c:order val="0"/>
          <c:tx>
            <c:strRef>
              <c:f>'pivot '!$B$13</c:f>
              <c:strCache>
                <c:ptCount val="1"/>
                <c:pt idx="0">
                  <c:v>Sum of Budget Allocated</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elete val="1"/>
          </c:dLbls>
          <c:cat>
            <c:strRef>
              <c:f>'pivot '!$A$14:$A$22</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'!$B$14:$B$22</c:f>
              <c:numCache>
                <c:formatCode>"₹"#,##0_);\("₹"#,##0\)</c:formatCode>
                <c:ptCount val="8"/>
                <c:pt idx="0">
                  <c:v>7410665</c:v>
                </c:pt>
                <c:pt idx="1">
                  <c:v>4544822</c:v>
                </c:pt>
                <c:pt idx="2">
                  <c:v>4489245</c:v>
                </c:pt>
                <c:pt idx="3">
                  <c:v>262599</c:v>
                </c:pt>
                <c:pt idx="4">
                  <c:v>2196152</c:v>
                </c:pt>
                <c:pt idx="5">
                  <c:v>975662</c:v>
                </c:pt>
                <c:pt idx="6">
                  <c:v>2502768</c:v>
                </c:pt>
                <c:pt idx="7">
                  <c:v>572037</c:v>
                </c:pt>
              </c:numCache>
            </c:numRef>
          </c:val>
          <c:shape val="cylinder"/>
          <c:extLst>
            <c:ext xmlns:c16="http://schemas.microsoft.com/office/drawing/2014/chart" uri="{C3380CC4-5D6E-409C-BE32-E72D297353CC}">
              <c16:uniqueId val="{00000000-93F1-49D1-88F6-1FE49B9E7F65}"/>
            </c:ext>
          </c:extLst>
        </c:ser>
        <c:ser>
          <c:idx val="1"/>
          <c:order val="1"/>
          <c:tx>
            <c:strRef>
              <c:f>'pivot '!$C$13</c:f>
              <c:strCache>
                <c:ptCount val="1"/>
                <c:pt idx="0">
                  <c:v>Sum of Budget Remaining</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elete val="1"/>
          </c:dLbls>
          <c:cat>
            <c:strRef>
              <c:f>'pivot '!$A$14:$A$22</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'!$C$14:$C$22</c:f>
              <c:numCache>
                <c:formatCode>"₹"#,##0_);\("₹"#,##0\)</c:formatCode>
                <c:ptCount val="8"/>
                <c:pt idx="0">
                  <c:v>1380494</c:v>
                </c:pt>
                <c:pt idx="1">
                  <c:v>873404</c:v>
                </c:pt>
                <c:pt idx="2">
                  <c:v>984090</c:v>
                </c:pt>
                <c:pt idx="3">
                  <c:v>54506</c:v>
                </c:pt>
                <c:pt idx="4">
                  <c:v>452914</c:v>
                </c:pt>
                <c:pt idx="5">
                  <c:v>202822</c:v>
                </c:pt>
                <c:pt idx="6">
                  <c:v>478820</c:v>
                </c:pt>
                <c:pt idx="7">
                  <c:v>121717</c:v>
                </c:pt>
              </c:numCache>
            </c:numRef>
          </c:val>
          <c:shape val="cylinder"/>
          <c:extLst>
            <c:ext xmlns:c16="http://schemas.microsoft.com/office/drawing/2014/chart" uri="{C3380CC4-5D6E-409C-BE32-E72D297353CC}">
              <c16:uniqueId val="{00000001-93F1-49D1-88F6-1FE49B9E7F65}"/>
            </c:ext>
          </c:extLst>
        </c:ser>
        <c:dLbls>
          <c:showLegendKey val="0"/>
          <c:showVal val="1"/>
          <c:showCatName val="0"/>
          <c:showSerName val="0"/>
          <c:showPercent val="0"/>
          <c:showBubbleSize val="0"/>
        </c:dLbls>
        <c:gapWidth val="0"/>
        <c:gapDepth val="0"/>
        <c:shape val="box"/>
        <c:axId val="650103392"/>
        <c:axId val="603484112"/>
        <c:axId val="0"/>
      </c:bar3DChart>
      <c:catAx>
        <c:axId val="65010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crossAx val="603484112"/>
        <c:crosses val="autoZero"/>
        <c:auto val="1"/>
        <c:lblAlgn val="ctr"/>
        <c:lblOffset val="100"/>
        <c:noMultiLvlLbl val="0"/>
      </c:catAx>
      <c:valAx>
        <c:axId val="603484112"/>
        <c:scaling>
          <c:orientation val="minMax"/>
        </c:scaling>
        <c:delete val="1"/>
        <c:axPos val="l"/>
        <c:numFmt formatCode="&quot;₹&quot;#,##0_);\(&quot;₹&quot;#,##0\)" sourceLinked="1"/>
        <c:majorTickMark val="out"/>
        <c:minorTickMark val="none"/>
        <c:tickLblPos val="nextTo"/>
        <c:crossAx val="6501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38100" cap="flat" cmpd="sng" algn="ctr">
      <a:noFill/>
      <a:round/>
    </a:ln>
    <a:effectLst>
      <a:glow rad="63500">
        <a:schemeClr val="accent1">
          <a:satMod val="175000"/>
          <a:alpha val="40000"/>
        </a:schemeClr>
      </a:glow>
    </a:effectLst>
  </c:spPr>
  <c:txPr>
    <a:bodyPr anchor="b" anchorCtr="1"/>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'!$L$3</c:f>
              <c:strCache>
                <c:ptCount val="1"/>
                <c:pt idx="0">
                  <c:v>Total</c:v>
                </c:pt>
              </c:strCache>
            </c:strRef>
          </c:tx>
          <c:explosion val="3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7E4-4D45-8209-7012E81846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7E4-4D45-8209-7012E81846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7E4-4D45-8209-7012E81846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7E4-4D45-8209-7012E81846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7E4-4D45-8209-7012E81846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87E4-4D45-8209-7012E81846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'!$K$4:$K$10</c:f>
              <c:strCache>
                <c:ptCount val="6"/>
                <c:pt idx="0">
                  <c:v>Engineering</c:v>
                </c:pt>
                <c:pt idx="1">
                  <c:v>Finance</c:v>
                </c:pt>
                <c:pt idx="2">
                  <c:v>HR</c:v>
                </c:pt>
                <c:pt idx="3">
                  <c:v>Marketing</c:v>
                </c:pt>
                <c:pt idx="4">
                  <c:v>Operations</c:v>
                </c:pt>
                <c:pt idx="5">
                  <c:v>Sales</c:v>
                </c:pt>
              </c:strCache>
            </c:strRef>
          </c:cat>
          <c:val>
            <c:numRef>
              <c:f>'pivot '!$L$4:$L$10</c:f>
              <c:numCache>
                <c:formatCode>General</c:formatCode>
                <c:ptCount val="6"/>
                <c:pt idx="0">
                  <c:v>69</c:v>
                </c:pt>
                <c:pt idx="1">
                  <c:v>63</c:v>
                </c:pt>
                <c:pt idx="2">
                  <c:v>71</c:v>
                </c:pt>
                <c:pt idx="3">
                  <c:v>74</c:v>
                </c:pt>
                <c:pt idx="4">
                  <c:v>72</c:v>
                </c:pt>
                <c:pt idx="5">
                  <c:v>66</c:v>
                </c:pt>
              </c:numCache>
            </c:numRef>
          </c:val>
          <c:extLst>
            <c:ext xmlns:c16="http://schemas.microsoft.com/office/drawing/2014/chart" uri="{C3380CC4-5D6E-409C-BE32-E72D297353CC}">
              <c16:uniqueId val="{0000000C-87E4-4D45-8209-7012E818461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noFill/>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'!$A$4:$A$10</c:f>
              <c:strCache>
                <c:ptCount val="6"/>
                <c:pt idx="0">
                  <c:v>Engineering</c:v>
                </c:pt>
                <c:pt idx="1">
                  <c:v>Finance</c:v>
                </c:pt>
                <c:pt idx="2">
                  <c:v>HR</c:v>
                </c:pt>
                <c:pt idx="3">
                  <c:v>Marketing</c:v>
                </c:pt>
                <c:pt idx="4">
                  <c:v>Operations</c:v>
                </c:pt>
                <c:pt idx="5">
                  <c:v>Sales</c:v>
                </c:pt>
              </c:strCache>
            </c:strRef>
          </c:cat>
          <c:val>
            <c:numRef>
              <c:f>'pivot '!$B$4:$B$10</c:f>
              <c:numCache>
                <c:formatCode>"₹"\ #,##0</c:formatCode>
                <c:ptCount val="6"/>
                <c:pt idx="0">
                  <c:v>3366315</c:v>
                </c:pt>
                <c:pt idx="1">
                  <c:v>2611075</c:v>
                </c:pt>
                <c:pt idx="2">
                  <c:v>3616924</c:v>
                </c:pt>
                <c:pt idx="3">
                  <c:v>3010276</c:v>
                </c:pt>
                <c:pt idx="4">
                  <c:v>3346621</c:v>
                </c:pt>
                <c:pt idx="5">
                  <c:v>2453972</c:v>
                </c:pt>
              </c:numCache>
            </c:numRef>
          </c:val>
          <c:extLst>
            <c:ext xmlns:c16="http://schemas.microsoft.com/office/drawing/2014/chart" uri="{C3380CC4-5D6E-409C-BE32-E72D297353CC}">
              <c16:uniqueId val="{00000000-9EB3-4D6B-9D47-68FCC8B9EDCA}"/>
            </c:ext>
          </c:extLst>
        </c:ser>
        <c:dLbls>
          <c:dLblPos val="ctr"/>
          <c:showLegendKey val="0"/>
          <c:showVal val="0"/>
          <c:showCatName val="0"/>
          <c:showSerName val="0"/>
          <c:showPercent val="0"/>
          <c:showBubbleSize val="0"/>
        </c:dLbls>
        <c:gapWidth val="150"/>
        <c:overlap val="100"/>
        <c:axId val="598164576"/>
        <c:axId val="268831920"/>
      </c:barChart>
      <c:catAx>
        <c:axId val="598164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8831920"/>
        <c:crosses val="autoZero"/>
        <c:auto val="1"/>
        <c:lblAlgn val="ctr"/>
        <c:lblOffset val="100"/>
        <c:noMultiLvlLbl val="0"/>
      </c:catAx>
      <c:valAx>
        <c:axId val="2688319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164576"/>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'!$E$3</c:f>
              <c:strCache>
                <c:ptCount val="1"/>
                <c:pt idx="0">
                  <c:v>Sum of Budget Allocated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'!$D$4:$D$10</c:f>
              <c:strCache>
                <c:ptCount val="6"/>
                <c:pt idx="0">
                  <c:v>Engineering</c:v>
                </c:pt>
                <c:pt idx="1">
                  <c:v>Finance</c:v>
                </c:pt>
                <c:pt idx="2">
                  <c:v>HR</c:v>
                </c:pt>
                <c:pt idx="3">
                  <c:v>Marketing</c:v>
                </c:pt>
                <c:pt idx="4">
                  <c:v>Operations</c:v>
                </c:pt>
                <c:pt idx="5">
                  <c:v>Sales</c:v>
                </c:pt>
              </c:strCache>
            </c:strRef>
          </c:cat>
          <c:val>
            <c:numRef>
              <c:f>'pivot '!$E$4:$E$10</c:f>
              <c:numCache>
                <c:formatCode>_ "₹"\ * #,##0\ ;_ "₹"\ * \-#,##0.00_ ;_ "₹"\ * "-"??_ ;_ @_ </c:formatCode>
                <c:ptCount val="6"/>
                <c:pt idx="0">
                  <c:v>4162201</c:v>
                </c:pt>
                <c:pt idx="1">
                  <c:v>3159110</c:v>
                </c:pt>
                <c:pt idx="2">
                  <c:v>4425089</c:v>
                </c:pt>
                <c:pt idx="3">
                  <c:v>3898633</c:v>
                </c:pt>
                <c:pt idx="4">
                  <c:v>4160632</c:v>
                </c:pt>
                <c:pt idx="5">
                  <c:v>3148285</c:v>
                </c:pt>
              </c:numCache>
            </c:numRef>
          </c:val>
          <c:extLst>
            <c:ext xmlns:c16="http://schemas.microsoft.com/office/drawing/2014/chart" uri="{C3380CC4-5D6E-409C-BE32-E72D297353CC}">
              <c16:uniqueId val="{00000000-82A0-4B54-B440-3E7F98E6FF6F}"/>
            </c:ext>
          </c:extLst>
        </c:ser>
        <c:ser>
          <c:idx val="1"/>
          <c:order val="1"/>
          <c:tx>
            <c:strRef>
              <c:f>'pivot '!$F$3</c:f>
              <c:strCache>
                <c:ptCount val="1"/>
                <c:pt idx="0">
                  <c:v>Sum of Budget Remaining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'!$D$4:$D$10</c:f>
              <c:strCache>
                <c:ptCount val="6"/>
                <c:pt idx="0">
                  <c:v>Engineering</c:v>
                </c:pt>
                <c:pt idx="1">
                  <c:v>Finance</c:v>
                </c:pt>
                <c:pt idx="2">
                  <c:v>HR</c:v>
                </c:pt>
                <c:pt idx="3">
                  <c:v>Marketing</c:v>
                </c:pt>
                <c:pt idx="4">
                  <c:v>Operations</c:v>
                </c:pt>
                <c:pt idx="5">
                  <c:v>Sales</c:v>
                </c:pt>
              </c:strCache>
            </c:strRef>
          </c:cat>
          <c:val>
            <c:numRef>
              <c:f>'pivot '!$F$4:$F$10</c:f>
              <c:numCache>
                <c:formatCode>_ "₹"\ * #,##0\ ;_ "₹"\ * \-#,##0.00_ ;_ "₹"\ * "-"??_ ;_ @_ </c:formatCode>
                <c:ptCount val="6"/>
                <c:pt idx="0">
                  <c:v>795886</c:v>
                </c:pt>
                <c:pt idx="1">
                  <c:v>548035</c:v>
                </c:pt>
                <c:pt idx="2">
                  <c:v>808165</c:v>
                </c:pt>
                <c:pt idx="3">
                  <c:v>888357</c:v>
                </c:pt>
                <c:pt idx="4">
                  <c:v>814011</c:v>
                </c:pt>
                <c:pt idx="5">
                  <c:v>694313</c:v>
                </c:pt>
              </c:numCache>
            </c:numRef>
          </c:val>
          <c:extLst>
            <c:ext xmlns:c16="http://schemas.microsoft.com/office/drawing/2014/chart" uri="{C3380CC4-5D6E-409C-BE32-E72D297353CC}">
              <c16:uniqueId val="{00000001-82A0-4B54-B440-3E7F98E6FF6F}"/>
            </c:ext>
          </c:extLst>
        </c:ser>
        <c:dLbls>
          <c:showLegendKey val="0"/>
          <c:showVal val="0"/>
          <c:showCatName val="0"/>
          <c:showSerName val="0"/>
          <c:showPercent val="0"/>
          <c:showBubbleSize val="0"/>
        </c:dLbls>
        <c:gapWidth val="100"/>
        <c:overlap val="-24"/>
        <c:axId val="713706847"/>
        <c:axId val="268797840"/>
      </c:barChart>
      <c:catAx>
        <c:axId val="713706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8797840"/>
        <c:crosses val="autoZero"/>
        <c:auto val="1"/>
        <c:lblAlgn val="ctr"/>
        <c:lblOffset val="100"/>
        <c:noMultiLvlLbl val="0"/>
      </c:catAx>
      <c:valAx>
        <c:axId val="26879784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 ;_ &quot;₹&quot;\ * \-#,##0.0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70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'!$F$13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'!$E$14:$E$22</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'!$F$14:$F$22</c:f>
              <c:numCache>
                <c:formatCode>"₹"\ #,###\ "L"</c:formatCode>
                <c:ptCount val="8"/>
                <c:pt idx="0">
                  <c:v>6030171</c:v>
                </c:pt>
                <c:pt idx="1">
                  <c:v>3671418</c:v>
                </c:pt>
                <c:pt idx="2">
                  <c:v>3505155</c:v>
                </c:pt>
                <c:pt idx="3">
                  <c:v>208093</c:v>
                </c:pt>
                <c:pt idx="4">
                  <c:v>1743238</c:v>
                </c:pt>
                <c:pt idx="5">
                  <c:v>772840</c:v>
                </c:pt>
                <c:pt idx="6">
                  <c:v>2023948</c:v>
                </c:pt>
                <c:pt idx="7">
                  <c:v>450320</c:v>
                </c:pt>
              </c:numCache>
            </c:numRef>
          </c:val>
          <c:extLst>
            <c:ext xmlns:c16="http://schemas.microsoft.com/office/drawing/2014/chart" uri="{C3380CC4-5D6E-409C-BE32-E72D297353CC}">
              <c16:uniqueId val="{00000000-F3B8-4427-9745-C120CCEB5A4D}"/>
            </c:ext>
          </c:extLst>
        </c:ser>
        <c:dLbls>
          <c:showLegendKey val="0"/>
          <c:showVal val="0"/>
          <c:showCatName val="0"/>
          <c:showSerName val="0"/>
          <c:showPercent val="0"/>
          <c:showBubbleSize val="0"/>
        </c:dLbls>
        <c:gapWidth val="150"/>
        <c:shape val="box"/>
        <c:axId val="639451312"/>
        <c:axId val="603589232"/>
        <c:axId val="0"/>
      </c:bar3DChart>
      <c:catAx>
        <c:axId val="63945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589232"/>
        <c:crosses val="autoZero"/>
        <c:auto val="1"/>
        <c:lblAlgn val="ctr"/>
        <c:lblOffset val="100"/>
        <c:noMultiLvlLbl val="0"/>
      </c:catAx>
      <c:valAx>
        <c:axId val="603589232"/>
        <c:scaling>
          <c:orientation val="minMax"/>
        </c:scaling>
        <c:delete val="0"/>
        <c:axPos val="l"/>
        <c:majorGridlines>
          <c:spPr>
            <a:ln w="9525" cap="flat" cmpd="sng" algn="ctr">
              <a:solidFill>
                <a:schemeClr val="dk1">
                  <a:lumMod val="50000"/>
                  <a:lumOff val="50000"/>
                </a:schemeClr>
              </a:solidFill>
              <a:round/>
            </a:ln>
            <a:effectLst/>
          </c:spPr>
        </c:majorGridlines>
        <c:numFmt formatCode="&quot;₹&quot;\ #,###\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45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w="38100">
          <a:noFill/>
        </a:ln>
        <a:effectLst/>
        <a:sp3d/>
      </c:spPr>
    </c:sideWall>
    <c:backWall>
      <c:thickness val="0"/>
      <c:spPr>
        <a:noFill/>
        <a:ln w="38100">
          <a:noFill/>
        </a:ln>
        <a:effectLst/>
        <a:sp3d/>
      </c:spPr>
    </c:backWall>
    <c:plotArea>
      <c:layout/>
      <c:bar3DChart>
        <c:barDir val="col"/>
        <c:grouping val="clustered"/>
        <c:varyColors val="0"/>
        <c:ser>
          <c:idx val="0"/>
          <c:order val="0"/>
          <c:tx>
            <c:strRef>
              <c:f>'pivot '!$B$13</c:f>
              <c:strCache>
                <c:ptCount val="1"/>
                <c:pt idx="0">
                  <c:v>Sum of Budget Allocated</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'!$A$14:$A$22</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'!$B$14:$B$22</c:f>
              <c:numCache>
                <c:formatCode>"₹"#,##0_);\("₹"#,##0\)</c:formatCode>
                <c:ptCount val="8"/>
                <c:pt idx="0">
                  <c:v>7410665</c:v>
                </c:pt>
                <c:pt idx="1">
                  <c:v>4544822</c:v>
                </c:pt>
                <c:pt idx="2">
                  <c:v>4489245</c:v>
                </c:pt>
                <c:pt idx="3">
                  <c:v>262599</c:v>
                </c:pt>
                <c:pt idx="4">
                  <c:v>2196152</c:v>
                </c:pt>
                <c:pt idx="5">
                  <c:v>975662</c:v>
                </c:pt>
                <c:pt idx="6">
                  <c:v>2502768</c:v>
                </c:pt>
                <c:pt idx="7">
                  <c:v>572037</c:v>
                </c:pt>
              </c:numCache>
            </c:numRef>
          </c:val>
          <c:shape val="cylinder"/>
          <c:extLst>
            <c:ext xmlns:c16="http://schemas.microsoft.com/office/drawing/2014/chart" uri="{C3380CC4-5D6E-409C-BE32-E72D297353CC}">
              <c16:uniqueId val="{00000000-B1E3-4D4C-84F1-7E0894B190E0}"/>
            </c:ext>
          </c:extLst>
        </c:ser>
        <c:ser>
          <c:idx val="1"/>
          <c:order val="1"/>
          <c:tx>
            <c:strRef>
              <c:f>'pivot '!$C$13</c:f>
              <c:strCache>
                <c:ptCount val="1"/>
                <c:pt idx="0">
                  <c:v>Sum of Budget Remaining</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elete val="1"/>
          </c:dLbls>
          <c:cat>
            <c:strRef>
              <c:f>'pivot '!$A$14:$A$22</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'!$C$14:$C$22</c:f>
              <c:numCache>
                <c:formatCode>"₹"#,##0_);\("₹"#,##0\)</c:formatCode>
                <c:ptCount val="8"/>
                <c:pt idx="0">
                  <c:v>1380494</c:v>
                </c:pt>
                <c:pt idx="1">
                  <c:v>873404</c:v>
                </c:pt>
                <c:pt idx="2">
                  <c:v>984090</c:v>
                </c:pt>
                <c:pt idx="3">
                  <c:v>54506</c:v>
                </c:pt>
                <c:pt idx="4">
                  <c:v>452914</c:v>
                </c:pt>
                <c:pt idx="5">
                  <c:v>202822</c:v>
                </c:pt>
                <c:pt idx="6">
                  <c:v>478820</c:v>
                </c:pt>
                <c:pt idx="7">
                  <c:v>121717</c:v>
                </c:pt>
              </c:numCache>
            </c:numRef>
          </c:val>
          <c:shape val="cylinder"/>
          <c:extLst>
            <c:ext xmlns:c16="http://schemas.microsoft.com/office/drawing/2014/chart" uri="{C3380CC4-5D6E-409C-BE32-E72D297353CC}">
              <c16:uniqueId val="{00000001-B1E3-4D4C-84F1-7E0894B190E0}"/>
            </c:ext>
          </c:extLst>
        </c:ser>
        <c:dLbls>
          <c:showLegendKey val="0"/>
          <c:showVal val="1"/>
          <c:showCatName val="0"/>
          <c:showSerName val="0"/>
          <c:showPercent val="0"/>
          <c:showBubbleSize val="0"/>
        </c:dLbls>
        <c:gapWidth val="0"/>
        <c:gapDepth val="0"/>
        <c:shape val="box"/>
        <c:axId val="650103392"/>
        <c:axId val="603484112"/>
        <c:axId val="0"/>
      </c:bar3DChart>
      <c:catAx>
        <c:axId val="65010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crossAx val="603484112"/>
        <c:crosses val="autoZero"/>
        <c:auto val="1"/>
        <c:lblAlgn val="ctr"/>
        <c:lblOffset val="100"/>
        <c:noMultiLvlLbl val="0"/>
      </c:catAx>
      <c:valAx>
        <c:axId val="603484112"/>
        <c:scaling>
          <c:orientation val="minMax"/>
        </c:scaling>
        <c:delete val="1"/>
        <c:axPos val="l"/>
        <c:numFmt formatCode="&quot;₹&quot;#,##0_);\(&quot;₹&quot;#,##0\)" sourceLinked="1"/>
        <c:majorTickMark val="out"/>
        <c:minorTickMark val="none"/>
        <c:tickLblPos val="nextTo"/>
        <c:crossAx val="6501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38100" cap="flat" cmpd="sng" algn="ctr">
      <a:solidFill>
        <a:srgbClr val="FFC000"/>
      </a:solidFill>
      <a:round/>
    </a:ln>
    <a:effectLst/>
  </c:spPr>
  <c:txPr>
    <a:bodyPr anchor="b" anchorCtr="1"/>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'!$B$28:$B$34</c:f>
              <c:strCache>
                <c:ptCount val="6"/>
                <c:pt idx="0">
                  <c:v>Engineering</c:v>
                </c:pt>
                <c:pt idx="1">
                  <c:v>Finance</c:v>
                </c:pt>
                <c:pt idx="2">
                  <c:v>HR</c:v>
                </c:pt>
                <c:pt idx="3">
                  <c:v>Marketing</c:v>
                </c:pt>
                <c:pt idx="4">
                  <c:v>Operations</c:v>
                </c:pt>
                <c:pt idx="5">
                  <c:v>Sales</c:v>
                </c:pt>
              </c:strCache>
            </c:strRef>
          </c:cat>
          <c:val>
            <c:numRef>
              <c:f>'pivot '!$C$28:$C$34</c:f>
              <c:numCache>
                <c:formatCode>0.00%</c:formatCode>
                <c:ptCount val="6"/>
                <c:pt idx="0">
                  <c:v>48787.17391304348</c:v>
                </c:pt>
                <c:pt idx="1">
                  <c:v>41445.634920634919</c:v>
                </c:pt>
                <c:pt idx="2">
                  <c:v>50942.591549295772</c:v>
                </c:pt>
                <c:pt idx="3">
                  <c:v>40679.405405405407</c:v>
                </c:pt>
                <c:pt idx="4">
                  <c:v>46480.847222222219</c:v>
                </c:pt>
                <c:pt idx="5">
                  <c:v>37181.393939393936</c:v>
                </c:pt>
              </c:numCache>
            </c:numRef>
          </c:val>
          <c:extLst>
            <c:ext xmlns:c16="http://schemas.microsoft.com/office/drawing/2014/chart" uri="{C3380CC4-5D6E-409C-BE32-E72D297353CC}">
              <c16:uniqueId val="{00000000-A1AA-41D6-BF65-F155C545D6B1}"/>
            </c:ext>
          </c:extLst>
        </c:ser>
        <c:dLbls>
          <c:showLegendKey val="0"/>
          <c:showVal val="0"/>
          <c:showCatName val="0"/>
          <c:showSerName val="0"/>
          <c:showPercent val="0"/>
          <c:showBubbleSize val="0"/>
        </c:dLbls>
        <c:gapWidth val="150"/>
        <c:overlap val="100"/>
        <c:axId val="698276784"/>
        <c:axId val="603514352"/>
      </c:barChart>
      <c:catAx>
        <c:axId val="69827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514352"/>
        <c:crosses val="autoZero"/>
        <c:auto val="1"/>
        <c:lblAlgn val="ctr"/>
        <c:lblOffset val="100"/>
        <c:noMultiLvlLbl val="0"/>
      </c:catAx>
      <c:valAx>
        <c:axId val="6035143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7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'!$F$27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'!$E$28:$E$36</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'!$F$28:$F$36</c:f>
              <c:numCache>
                <c:formatCode>0.00%</c:formatCode>
                <c:ptCount val="8"/>
                <c:pt idx="0">
                  <c:v>113776.81132075471</c:v>
                </c:pt>
                <c:pt idx="1">
                  <c:v>64410.84210526316</c:v>
                </c:pt>
                <c:pt idx="2">
                  <c:v>85491.585365853665</c:v>
                </c:pt>
                <c:pt idx="3">
                  <c:v>3853.5740740740739</c:v>
                </c:pt>
                <c:pt idx="4">
                  <c:v>26018.4776119403</c:v>
                </c:pt>
                <c:pt idx="5">
                  <c:v>17564.545454545456</c:v>
                </c:pt>
                <c:pt idx="6">
                  <c:v>44976.62222222222</c:v>
                </c:pt>
                <c:pt idx="7">
                  <c:v>8339.2592592592591</c:v>
                </c:pt>
              </c:numCache>
            </c:numRef>
          </c:val>
          <c:extLst>
            <c:ext xmlns:c16="http://schemas.microsoft.com/office/drawing/2014/chart" uri="{C3380CC4-5D6E-409C-BE32-E72D297353CC}">
              <c16:uniqueId val="{00000000-3966-47C8-8F7F-C8856B10A8F3}"/>
            </c:ext>
          </c:extLst>
        </c:ser>
        <c:dLbls>
          <c:showLegendKey val="0"/>
          <c:showVal val="0"/>
          <c:showCatName val="0"/>
          <c:showSerName val="0"/>
          <c:showPercent val="0"/>
          <c:showBubbleSize val="0"/>
        </c:dLbls>
        <c:gapWidth val="100"/>
        <c:overlap val="-24"/>
        <c:axId val="698424704"/>
        <c:axId val="603561872"/>
      </c:barChart>
      <c:catAx>
        <c:axId val="698424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561872"/>
        <c:crosses val="autoZero"/>
        <c:auto val="1"/>
        <c:lblAlgn val="ctr"/>
        <c:lblOffset val="100"/>
        <c:noMultiLvlLbl val="0"/>
      </c:catAx>
      <c:valAx>
        <c:axId val="6035618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42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!PivotTable8</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'!$B$37:$B$47</c:f>
              <c:strCache>
                <c:ptCount val="10"/>
                <c:pt idx="0">
                  <c:v>AdPro Media</c:v>
                </c:pt>
                <c:pt idx="1">
                  <c:v>CloudSoft</c:v>
                </c:pt>
                <c:pt idx="2">
                  <c:v>GlobalTravel</c:v>
                </c:pt>
                <c:pt idx="3">
                  <c:v>HardwarePro</c:v>
                </c:pt>
                <c:pt idx="4">
                  <c:v>PowerGrid Co</c:v>
                </c:pt>
                <c:pt idx="5">
                  <c:v>PrintZone</c:v>
                </c:pt>
                <c:pt idx="6">
                  <c:v>QuickTravel</c:v>
                </c:pt>
                <c:pt idx="7">
                  <c:v>SkillUp Academy</c:v>
                </c:pt>
                <c:pt idx="8">
                  <c:v>Strategy Consultants</c:v>
                </c:pt>
                <c:pt idx="9">
                  <c:v>TechMart India</c:v>
                </c:pt>
              </c:strCache>
            </c:strRef>
          </c:cat>
          <c:val>
            <c:numRef>
              <c:f>'pivot '!$C$37:$C$47</c:f>
              <c:numCache>
                <c:formatCode>0.00%</c:formatCode>
                <c:ptCount val="10"/>
                <c:pt idx="0">
                  <c:v>48754.88636363636</c:v>
                </c:pt>
                <c:pt idx="1">
                  <c:v>45443.270270270274</c:v>
                </c:pt>
                <c:pt idx="2">
                  <c:v>43827.972972972973</c:v>
                </c:pt>
                <c:pt idx="3">
                  <c:v>39041.333333333336</c:v>
                </c:pt>
                <c:pt idx="4">
                  <c:v>55267.106382978724</c:v>
                </c:pt>
                <c:pt idx="5">
                  <c:v>36996.428571428572</c:v>
                </c:pt>
                <c:pt idx="6">
                  <c:v>42608.256410256414</c:v>
                </c:pt>
                <c:pt idx="7">
                  <c:v>41859.021276595748</c:v>
                </c:pt>
                <c:pt idx="8">
                  <c:v>39384.642857142855</c:v>
                </c:pt>
                <c:pt idx="9">
                  <c:v>48199.809523809527</c:v>
                </c:pt>
              </c:numCache>
            </c:numRef>
          </c:val>
          <c:extLst>
            <c:ext xmlns:c16="http://schemas.microsoft.com/office/drawing/2014/chart" uri="{C3380CC4-5D6E-409C-BE32-E72D297353CC}">
              <c16:uniqueId val="{00000000-0356-442E-87BA-8E7ADE436264}"/>
            </c:ext>
          </c:extLst>
        </c:ser>
        <c:dLbls>
          <c:showLegendKey val="0"/>
          <c:showVal val="0"/>
          <c:showCatName val="0"/>
          <c:showSerName val="0"/>
          <c:showPercent val="0"/>
          <c:showBubbleSize val="0"/>
        </c:dLbls>
        <c:gapWidth val="100"/>
        <c:overlap val="-24"/>
        <c:axId val="698416352"/>
        <c:axId val="603608912"/>
      </c:barChart>
      <c:catAx>
        <c:axId val="698416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608912"/>
        <c:crosses val="autoZero"/>
        <c:auto val="1"/>
        <c:lblAlgn val="ctr"/>
        <c:lblOffset val="100"/>
        <c:noMultiLvlLbl val="0"/>
      </c:catAx>
      <c:valAx>
        <c:axId val="6036089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41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507-487D-9923-B455263EDA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507-487D-9923-B455263EDA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507-487D-9923-B455263EDA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507-487D-9923-B455263EDA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507-487D-9923-B455263EDA3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507-487D-9923-B455263EDA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'!$K$4:$K$10</c:f>
              <c:strCache>
                <c:ptCount val="6"/>
                <c:pt idx="0">
                  <c:v>Engineering</c:v>
                </c:pt>
                <c:pt idx="1">
                  <c:v>Finance</c:v>
                </c:pt>
                <c:pt idx="2">
                  <c:v>HR</c:v>
                </c:pt>
                <c:pt idx="3">
                  <c:v>Marketing</c:v>
                </c:pt>
                <c:pt idx="4">
                  <c:v>Operations</c:v>
                </c:pt>
                <c:pt idx="5">
                  <c:v>Sales</c:v>
                </c:pt>
              </c:strCache>
            </c:strRef>
          </c:cat>
          <c:val>
            <c:numRef>
              <c:f>'pivot '!$L$4:$L$10</c:f>
              <c:numCache>
                <c:formatCode>General</c:formatCode>
                <c:ptCount val="6"/>
                <c:pt idx="0">
                  <c:v>69</c:v>
                </c:pt>
                <c:pt idx="1">
                  <c:v>63</c:v>
                </c:pt>
                <c:pt idx="2">
                  <c:v>71</c:v>
                </c:pt>
                <c:pt idx="3">
                  <c:v>74</c:v>
                </c:pt>
                <c:pt idx="4">
                  <c:v>72</c:v>
                </c:pt>
                <c:pt idx="5">
                  <c:v>66</c:v>
                </c:pt>
              </c:numCache>
            </c:numRef>
          </c:val>
          <c:extLst>
            <c:ext xmlns:c16="http://schemas.microsoft.com/office/drawing/2014/chart" uri="{C3380CC4-5D6E-409C-BE32-E72D297353CC}">
              <c16:uniqueId val="{0000000C-C507-487D-9923-B455263EDA3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'!$L$13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C0-419B-8AE9-12A7B3F326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C0-419B-8AE9-12A7B3F326F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C0-419B-8AE9-12A7B3F326F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C0-419B-8AE9-12A7B3F326F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5C0-419B-8AE9-12A7B3F326F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5C0-419B-8AE9-12A7B3F326F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5C0-419B-8AE9-12A7B3F326F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5C0-419B-8AE9-12A7B3F326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'!$K$14:$K$22</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 '!$L$14:$L$22</c:f>
              <c:numCache>
                <c:formatCode>General</c:formatCode>
                <c:ptCount val="8"/>
                <c:pt idx="0">
                  <c:v>53</c:v>
                </c:pt>
                <c:pt idx="1">
                  <c:v>57</c:v>
                </c:pt>
                <c:pt idx="2">
                  <c:v>41</c:v>
                </c:pt>
                <c:pt idx="3">
                  <c:v>54</c:v>
                </c:pt>
                <c:pt idx="4">
                  <c:v>67</c:v>
                </c:pt>
                <c:pt idx="5">
                  <c:v>44</c:v>
                </c:pt>
                <c:pt idx="6">
                  <c:v>45</c:v>
                </c:pt>
                <c:pt idx="7">
                  <c:v>54</c:v>
                </c:pt>
              </c:numCache>
            </c:numRef>
          </c:val>
          <c:extLst>
            <c:ext xmlns:c16="http://schemas.microsoft.com/office/drawing/2014/chart" uri="{C3380CC4-5D6E-409C-BE32-E72D297353CC}">
              <c16:uniqueId val="{00000010-C5C0-419B-8AE9-12A7B3F326F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!PivotTable21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3254593175853E-2"/>
              <c:y val="0.125262467191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0019903762029743E-2"/>
              <c:y val="9.25215077282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7124453193350826E-2"/>
              <c:y val="-1.1506634587343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3678915135608"/>
              <c:y val="-9.5238772236803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544400699912508E-2"/>
              <c:y val="-0.13488699329250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098643919510062E-2"/>
              <c:y val="-0.12932524059492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50306211723503E-2"/>
              <c:y val="-0.10689413823272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588363954505661E-2"/>
              <c:y val="-5.0987897346165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787182852143487E-2"/>
              <c:y val="9.0777923592884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76443569553806E-2"/>
              <c:y val="0.121687445319335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'!$O$14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EE-4B9E-BF5E-D57622509FB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EE-4B9E-BF5E-D57622509FB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EE-4B9E-BF5E-D57622509FB0}"/>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EE-4B9E-BF5E-D57622509FB0}"/>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EE-4B9E-BF5E-D57622509FB0}"/>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EE-4B9E-BF5E-D57622509FB0}"/>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9EE-4B9E-BF5E-D57622509FB0}"/>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9EE-4B9E-BF5E-D57622509FB0}"/>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9EE-4B9E-BF5E-D57622509FB0}"/>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9EE-4B9E-BF5E-D57622509FB0}"/>
              </c:ext>
            </c:extLst>
          </c:dPt>
          <c:dLbls>
            <c:dLbl>
              <c:idx val="0"/>
              <c:layout>
                <c:manualLayout>
                  <c:x val="-4.93254593175853E-2"/>
                  <c:y val="0.12526246719160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EE-4B9E-BF5E-D57622509FB0}"/>
                </c:ext>
              </c:extLst>
            </c:dLbl>
            <c:dLbl>
              <c:idx val="1"/>
              <c:layout>
                <c:manualLayout>
                  <c:x val="-9.0019903762029743E-2"/>
                  <c:y val="9.2521507728200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EE-4B9E-BF5E-D57622509FB0}"/>
                </c:ext>
              </c:extLst>
            </c:dLbl>
            <c:dLbl>
              <c:idx val="2"/>
              <c:layout>
                <c:manualLayout>
                  <c:x val="-8.7124453193350826E-2"/>
                  <c:y val="-1.15066345873432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9EE-4B9E-BF5E-D57622509FB0}"/>
                </c:ext>
              </c:extLst>
            </c:dLbl>
            <c:dLbl>
              <c:idx val="3"/>
              <c:layout>
                <c:manualLayout>
                  <c:x val="-0.1133678915135608"/>
                  <c:y val="-9.523877223680372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9EE-4B9E-BF5E-D57622509FB0}"/>
                </c:ext>
              </c:extLst>
            </c:dLbl>
            <c:dLbl>
              <c:idx val="4"/>
              <c:layout>
                <c:manualLayout>
                  <c:x val="-5.2544400699912508E-2"/>
                  <c:y val="-0.1348869932925051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9EE-4B9E-BF5E-D57622509FB0}"/>
                </c:ext>
              </c:extLst>
            </c:dLbl>
            <c:dLbl>
              <c:idx val="5"/>
              <c:layout>
                <c:manualLayout>
                  <c:x val="5.6098643919510062E-2"/>
                  <c:y val="-0.1293252405949258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9EE-4B9E-BF5E-D57622509FB0}"/>
                </c:ext>
              </c:extLst>
            </c:dLbl>
            <c:dLbl>
              <c:idx val="6"/>
              <c:layout>
                <c:manualLayout>
                  <c:x val="9.7050306211723503E-2"/>
                  <c:y val="-0.1068941382327209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9EE-4B9E-BF5E-D57622509FB0}"/>
                </c:ext>
              </c:extLst>
            </c:dLbl>
            <c:dLbl>
              <c:idx val="7"/>
              <c:layout>
                <c:manualLayout>
                  <c:x val="9.1588363954505661E-2"/>
                  <c:y val="-5.0987897346165909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9EE-4B9E-BF5E-D57622509FB0}"/>
                </c:ext>
              </c:extLst>
            </c:dLbl>
            <c:dLbl>
              <c:idx val="8"/>
              <c:layout>
                <c:manualLayout>
                  <c:x val="7.2787182852143487E-2"/>
                  <c:y val="9.077792359288422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9EE-4B9E-BF5E-D57622509FB0}"/>
                </c:ext>
              </c:extLst>
            </c:dLbl>
            <c:dLbl>
              <c:idx val="9"/>
              <c:layout>
                <c:manualLayout>
                  <c:x val="4.976443569553806E-2"/>
                  <c:y val="0.1216874453193351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29EE-4B9E-BF5E-D57622509F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'!$N$15:$N$25</c:f>
              <c:strCache>
                <c:ptCount val="10"/>
                <c:pt idx="0">
                  <c:v>AdPro Media</c:v>
                </c:pt>
                <c:pt idx="1">
                  <c:v>CloudSoft</c:v>
                </c:pt>
                <c:pt idx="2">
                  <c:v>GlobalTravel</c:v>
                </c:pt>
                <c:pt idx="3">
                  <c:v>HardwarePro</c:v>
                </c:pt>
                <c:pt idx="4">
                  <c:v>PowerGrid Co</c:v>
                </c:pt>
                <c:pt idx="5">
                  <c:v>PrintZone</c:v>
                </c:pt>
                <c:pt idx="6">
                  <c:v>QuickTravel</c:v>
                </c:pt>
                <c:pt idx="7">
                  <c:v>SkillUp Academy</c:v>
                </c:pt>
                <c:pt idx="8">
                  <c:v>Strategy Consultants</c:v>
                </c:pt>
                <c:pt idx="9">
                  <c:v>TechMart India</c:v>
                </c:pt>
              </c:strCache>
            </c:strRef>
          </c:cat>
          <c:val>
            <c:numRef>
              <c:f>'pivot '!$O$15:$O$25</c:f>
              <c:numCache>
                <c:formatCode>General</c:formatCode>
                <c:ptCount val="10"/>
                <c:pt idx="0">
                  <c:v>44</c:v>
                </c:pt>
                <c:pt idx="1">
                  <c:v>37</c:v>
                </c:pt>
                <c:pt idx="2">
                  <c:v>37</c:v>
                </c:pt>
                <c:pt idx="3">
                  <c:v>45</c:v>
                </c:pt>
                <c:pt idx="4">
                  <c:v>47</c:v>
                </c:pt>
                <c:pt idx="5">
                  <c:v>35</c:v>
                </c:pt>
                <c:pt idx="6">
                  <c:v>39</c:v>
                </c:pt>
                <c:pt idx="7">
                  <c:v>47</c:v>
                </c:pt>
                <c:pt idx="8">
                  <c:v>42</c:v>
                </c:pt>
                <c:pt idx="9">
                  <c:v>42</c:v>
                </c:pt>
              </c:numCache>
            </c:numRef>
          </c:val>
          <c:extLst>
            <c:ext xmlns:c16="http://schemas.microsoft.com/office/drawing/2014/chart" uri="{C3380CC4-5D6E-409C-BE32-E72D297353CC}">
              <c16:uniqueId val="{00000014-29EE-4B9E-BF5E-D57622509FB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!PivotTable20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'!$O$3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31-489F-BC7B-7B2019ECC7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31-489F-BC7B-7B2019ECC7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'!$N$4:$N$6</c:f>
              <c:strCache>
                <c:ptCount val="2"/>
                <c:pt idx="0">
                  <c:v>No</c:v>
                </c:pt>
                <c:pt idx="1">
                  <c:v>Yes</c:v>
                </c:pt>
              </c:strCache>
            </c:strRef>
          </c:cat>
          <c:val>
            <c:numRef>
              <c:f>'pivot '!$O$4:$O$6</c:f>
              <c:numCache>
                <c:formatCode>General</c:formatCode>
                <c:ptCount val="2"/>
                <c:pt idx="0">
                  <c:v>77</c:v>
                </c:pt>
                <c:pt idx="1">
                  <c:v>338</c:v>
                </c:pt>
              </c:numCache>
            </c:numRef>
          </c:val>
          <c:extLst>
            <c:ext xmlns:c16="http://schemas.microsoft.com/office/drawing/2014/chart" uri="{C3380CC4-5D6E-409C-BE32-E72D297353CC}">
              <c16:uniqueId val="{00000004-2231-489F-BC7B-7B2019ECC79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Expense Analysis Dashboard  Microsoft Excel.xlsx]pivot !PivotTable1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FF0000">
                <a:alpha val="63000"/>
              </a:srgbClr>
            </a:outerShdw>
          </a:effectLst>
        </c:spPr>
        <c:marker>
          <c:symbol val="circle"/>
          <c:size val="6"/>
          <c:spPr>
            <a:gradFill rotWithShape="1">
              <a:gsLst>
                <a:gs pos="41000">
                  <a:srgbClr val="FFFF00"/>
                </a:gs>
                <a:gs pos="100000">
                  <a:srgbClr val="FFFF00"/>
                </a:gs>
              </a:gsLst>
              <a:lin ang="5400000" scaled="1"/>
            </a:gradFill>
            <a:ln w="9525">
              <a:solidFill>
                <a:schemeClr val="accent1"/>
              </a:solidFill>
              <a:round/>
            </a:ln>
            <a:effectLst>
              <a:outerShdw blurRad="57150" dist="19050" dir="5400000" algn="ctr" rotWithShape="0">
                <a:srgbClr val="FF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'!$R$8</c:f>
              <c:strCache>
                <c:ptCount val="1"/>
                <c:pt idx="0">
                  <c:v>Total</c:v>
                </c:pt>
              </c:strCache>
            </c:strRef>
          </c:tx>
          <c:spPr>
            <a:ln w="34925" cap="rnd">
              <a:solidFill>
                <a:schemeClr val="accent1"/>
              </a:solidFill>
              <a:round/>
            </a:ln>
            <a:effectLst>
              <a:outerShdw blurRad="57150" dist="19050" dir="5400000" algn="ctr" rotWithShape="0">
                <a:srgbClr val="FF0000">
                  <a:alpha val="63000"/>
                </a:srgbClr>
              </a:outerShdw>
            </a:effectLst>
          </c:spPr>
          <c:marker>
            <c:symbol val="circle"/>
            <c:size val="6"/>
            <c:spPr>
              <a:gradFill rotWithShape="1">
                <a:gsLst>
                  <a:gs pos="41000">
                    <a:srgbClr val="FFFF00"/>
                  </a:gs>
                  <a:gs pos="100000">
                    <a:srgbClr val="FFFF00"/>
                  </a:gs>
                </a:gsLst>
                <a:lin ang="5400000" scaled="1"/>
              </a:gradFill>
              <a:ln w="9525">
                <a:solidFill>
                  <a:schemeClr val="accent1"/>
                </a:solidFill>
                <a:round/>
              </a:ln>
              <a:effectLst>
                <a:outerShdw blurRad="57150" dist="19050" dir="5400000" algn="ctr" rotWithShape="0">
                  <a:srgbClr val="FF0000">
                    <a:alpha val="63000"/>
                  </a:srgbClr>
                </a:outerShdw>
              </a:effectLst>
            </c:spPr>
          </c:marker>
          <c:cat>
            <c:strRef>
              <c:f>'pivot '!$Q$9:$Q$13</c:f>
              <c:strCache>
                <c:ptCount val="4"/>
                <c:pt idx="0">
                  <c:v>Bank Transfer</c:v>
                </c:pt>
                <c:pt idx="1">
                  <c:v>Cash</c:v>
                </c:pt>
                <c:pt idx="2">
                  <c:v>Cheque</c:v>
                </c:pt>
                <c:pt idx="3">
                  <c:v>Credit Card</c:v>
                </c:pt>
              </c:strCache>
            </c:strRef>
          </c:cat>
          <c:val>
            <c:numRef>
              <c:f>'pivot '!$R$9:$R$13</c:f>
              <c:numCache>
                <c:formatCode>General</c:formatCode>
                <c:ptCount val="4"/>
                <c:pt idx="0">
                  <c:v>95</c:v>
                </c:pt>
                <c:pt idx="1">
                  <c:v>103</c:v>
                </c:pt>
                <c:pt idx="2">
                  <c:v>127</c:v>
                </c:pt>
                <c:pt idx="3">
                  <c:v>90</c:v>
                </c:pt>
              </c:numCache>
            </c:numRef>
          </c:val>
          <c:smooth val="1"/>
          <c:extLst>
            <c:ext xmlns:c16="http://schemas.microsoft.com/office/drawing/2014/chart" uri="{C3380CC4-5D6E-409C-BE32-E72D297353CC}">
              <c16:uniqueId val="{00000000-028D-45B3-9381-F5BD5D7C2EF6}"/>
            </c:ext>
          </c:extLst>
        </c:ser>
        <c:dLbls>
          <c:showLegendKey val="0"/>
          <c:showVal val="0"/>
          <c:showCatName val="0"/>
          <c:showSerName val="0"/>
          <c:showPercent val="0"/>
          <c:showBubbleSize val="0"/>
        </c:dLbls>
        <c:marker val="1"/>
        <c:smooth val="0"/>
        <c:axId val="698411712"/>
        <c:axId val="1485568944"/>
      </c:lineChart>
      <c:catAx>
        <c:axId val="698411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5568944"/>
        <c:crosses val="autoZero"/>
        <c:auto val="1"/>
        <c:lblAlgn val="ctr"/>
        <c:lblOffset val="100"/>
        <c:noMultiLvlLbl val="0"/>
      </c:catAx>
      <c:valAx>
        <c:axId val="1485568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4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C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99060</xdr:colOff>
      <xdr:row>1</xdr:row>
      <xdr:rowOff>0</xdr:rowOff>
    </xdr:from>
    <xdr:to>
      <xdr:col>21</xdr:col>
      <xdr:colOff>0</xdr:colOff>
      <xdr:row>5</xdr:row>
      <xdr:rowOff>0</xdr:rowOff>
    </xdr:to>
    <xdr:sp macro="" textlink="">
      <xdr:nvSpPr>
        <xdr:cNvPr id="2" name="Rectangle: Rounded Corners 1">
          <a:extLst>
            <a:ext uri="{FF2B5EF4-FFF2-40B4-BE49-F238E27FC236}">
              <a16:creationId xmlns:a16="http://schemas.microsoft.com/office/drawing/2014/main" id="{07ABB574-4C62-9137-0AD1-F69807010133}"/>
            </a:ext>
          </a:extLst>
        </xdr:cNvPr>
        <xdr:cNvSpPr/>
      </xdr:nvSpPr>
      <xdr:spPr>
        <a:xfrm>
          <a:off x="99060" y="182880"/>
          <a:ext cx="12702540" cy="73152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6</xdr:row>
      <xdr:rowOff>0</xdr:rowOff>
    </xdr:from>
    <xdr:to>
      <xdr:col>3</xdr:col>
      <xdr:colOff>304800</xdr:colOff>
      <xdr:row>10</xdr:row>
      <xdr:rowOff>0</xdr:rowOff>
    </xdr:to>
    <xdr:sp macro="" textlink="">
      <xdr:nvSpPr>
        <xdr:cNvPr id="3" name="Rectangle: Rounded Corners 2">
          <a:extLst>
            <a:ext uri="{FF2B5EF4-FFF2-40B4-BE49-F238E27FC236}">
              <a16:creationId xmlns:a16="http://schemas.microsoft.com/office/drawing/2014/main" id="{1AF0657B-271C-9435-DC82-D475318CB3CE}"/>
            </a:ext>
          </a:extLst>
        </xdr:cNvPr>
        <xdr:cNvSpPr/>
      </xdr:nvSpPr>
      <xdr:spPr>
        <a:xfrm>
          <a:off x="91440" y="1097280"/>
          <a:ext cx="2042160" cy="73152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396240</xdr:colOff>
      <xdr:row>6</xdr:row>
      <xdr:rowOff>0</xdr:rowOff>
    </xdr:from>
    <xdr:to>
      <xdr:col>7</xdr:col>
      <xdr:colOff>0</xdr:colOff>
      <xdr:row>10</xdr:row>
      <xdr:rowOff>0</xdr:rowOff>
    </xdr:to>
    <xdr:sp macro="" textlink="">
      <xdr:nvSpPr>
        <xdr:cNvPr id="4" name="Rectangle: Rounded Corners 3">
          <a:extLst>
            <a:ext uri="{FF2B5EF4-FFF2-40B4-BE49-F238E27FC236}">
              <a16:creationId xmlns:a16="http://schemas.microsoft.com/office/drawing/2014/main" id="{BD06B4D5-0235-A445-2FB5-14A6BEF45335}"/>
            </a:ext>
          </a:extLst>
        </xdr:cNvPr>
        <xdr:cNvSpPr/>
      </xdr:nvSpPr>
      <xdr:spPr>
        <a:xfrm>
          <a:off x="2225040" y="1097280"/>
          <a:ext cx="2042160" cy="73152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xdr:colOff>
      <xdr:row>6</xdr:row>
      <xdr:rowOff>0</xdr:rowOff>
    </xdr:from>
    <xdr:to>
      <xdr:col>10</xdr:col>
      <xdr:colOff>320040</xdr:colOff>
      <xdr:row>10</xdr:row>
      <xdr:rowOff>0</xdr:rowOff>
    </xdr:to>
    <xdr:sp macro="" textlink="">
      <xdr:nvSpPr>
        <xdr:cNvPr id="5" name="Rectangle: Rounded Corners 4">
          <a:extLst>
            <a:ext uri="{FF2B5EF4-FFF2-40B4-BE49-F238E27FC236}">
              <a16:creationId xmlns:a16="http://schemas.microsoft.com/office/drawing/2014/main" id="{AB440445-7AD1-CA59-9079-203BA6737AD6}"/>
            </a:ext>
          </a:extLst>
        </xdr:cNvPr>
        <xdr:cNvSpPr/>
      </xdr:nvSpPr>
      <xdr:spPr>
        <a:xfrm>
          <a:off x="4373880" y="1097280"/>
          <a:ext cx="2042160" cy="73152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6</xdr:row>
      <xdr:rowOff>0</xdr:rowOff>
    </xdr:from>
    <xdr:to>
      <xdr:col>14</xdr:col>
      <xdr:colOff>0</xdr:colOff>
      <xdr:row>10</xdr:row>
      <xdr:rowOff>0</xdr:rowOff>
    </xdr:to>
    <xdr:sp macro="" textlink="">
      <xdr:nvSpPr>
        <xdr:cNvPr id="6" name="Rectangle: Rounded Corners 5">
          <a:extLst>
            <a:ext uri="{FF2B5EF4-FFF2-40B4-BE49-F238E27FC236}">
              <a16:creationId xmlns:a16="http://schemas.microsoft.com/office/drawing/2014/main" id="{C4DD154F-11B2-80CE-B25D-3A21101DEF3F}"/>
            </a:ext>
          </a:extLst>
        </xdr:cNvPr>
        <xdr:cNvSpPr/>
      </xdr:nvSpPr>
      <xdr:spPr>
        <a:xfrm>
          <a:off x="6492240" y="1097280"/>
          <a:ext cx="2042160" cy="73152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83820</xdr:colOff>
      <xdr:row>6</xdr:row>
      <xdr:rowOff>0</xdr:rowOff>
    </xdr:from>
    <xdr:to>
      <xdr:col>17</xdr:col>
      <xdr:colOff>297180</xdr:colOff>
      <xdr:row>10</xdr:row>
      <xdr:rowOff>0</xdr:rowOff>
    </xdr:to>
    <xdr:sp macro="" textlink="">
      <xdr:nvSpPr>
        <xdr:cNvPr id="7" name="Rectangle: Rounded Corners 6">
          <a:extLst>
            <a:ext uri="{FF2B5EF4-FFF2-40B4-BE49-F238E27FC236}">
              <a16:creationId xmlns:a16="http://schemas.microsoft.com/office/drawing/2014/main" id="{2797D726-5A7F-D782-1007-EC878AC111A0}"/>
            </a:ext>
          </a:extLst>
        </xdr:cNvPr>
        <xdr:cNvSpPr/>
      </xdr:nvSpPr>
      <xdr:spPr>
        <a:xfrm>
          <a:off x="8618220" y="1097280"/>
          <a:ext cx="2042160" cy="73152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6</xdr:row>
      <xdr:rowOff>0</xdr:rowOff>
    </xdr:from>
    <xdr:to>
      <xdr:col>1</xdr:col>
      <xdr:colOff>0</xdr:colOff>
      <xdr:row>10</xdr:row>
      <xdr:rowOff>0</xdr:rowOff>
    </xdr:to>
    <xdr:sp macro="" textlink="">
      <xdr:nvSpPr>
        <xdr:cNvPr id="9" name="Rectangle: Rounded Corners 8">
          <a:extLst>
            <a:ext uri="{FF2B5EF4-FFF2-40B4-BE49-F238E27FC236}">
              <a16:creationId xmlns:a16="http://schemas.microsoft.com/office/drawing/2014/main" id="{649B4D8F-637E-C55A-22EA-7898B666A2B4}"/>
            </a:ext>
          </a:extLst>
        </xdr:cNvPr>
        <xdr:cNvSpPr/>
      </xdr:nvSpPr>
      <xdr:spPr>
        <a:xfrm>
          <a:off x="91440" y="1097280"/>
          <a:ext cx="518160" cy="731520"/>
        </a:xfrm>
        <a:prstGeom prst="roundRect">
          <a:avLst/>
        </a:prstGeom>
        <a:solidFill>
          <a:schemeClr val="tx1">
            <a:lumMod val="85000"/>
            <a:lumOff val="15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396240</xdr:colOff>
      <xdr:row>6</xdr:row>
      <xdr:rowOff>0</xdr:rowOff>
    </xdr:from>
    <xdr:to>
      <xdr:col>4</xdr:col>
      <xdr:colOff>304800</xdr:colOff>
      <xdr:row>10</xdr:row>
      <xdr:rowOff>0</xdr:rowOff>
    </xdr:to>
    <xdr:sp macro="" textlink="">
      <xdr:nvSpPr>
        <xdr:cNvPr id="10" name="Rectangle: Rounded Corners 9">
          <a:extLst>
            <a:ext uri="{FF2B5EF4-FFF2-40B4-BE49-F238E27FC236}">
              <a16:creationId xmlns:a16="http://schemas.microsoft.com/office/drawing/2014/main" id="{9095750A-6B70-43C7-A074-2DA66C074E84}"/>
            </a:ext>
          </a:extLst>
        </xdr:cNvPr>
        <xdr:cNvSpPr/>
      </xdr:nvSpPr>
      <xdr:spPr>
        <a:xfrm>
          <a:off x="2225040" y="1097280"/>
          <a:ext cx="518160" cy="7315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xdr:colOff>
      <xdr:row>6</xdr:row>
      <xdr:rowOff>0</xdr:rowOff>
    </xdr:from>
    <xdr:to>
      <xdr:col>8</xdr:col>
      <xdr:colOff>15240</xdr:colOff>
      <xdr:row>10</xdr:row>
      <xdr:rowOff>0</xdr:rowOff>
    </xdr:to>
    <xdr:sp macro="" textlink="">
      <xdr:nvSpPr>
        <xdr:cNvPr id="11" name="Rectangle: Rounded Corners 10">
          <a:extLst>
            <a:ext uri="{FF2B5EF4-FFF2-40B4-BE49-F238E27FC236}">
              <a16:creationId xmlns:a16="http://schemas.microsoft.com/office/drawing/2014/main" id="{08CC23A4-101C-4C25-AAE0-233450C6BCF5}"/>
            </a:ext>
          </a:extLst>
        </xdr:cNvPr>
        <xdr:cNvSpPr/>
      </xdr:nvSpPr>
      <xdr:spPr>
        <a:xfrm>
          <a:off x="4373880" y="1097280"/>
          <a:ext cx="518160" cy="7315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6</xdr:row>
      <xdr:rowOff>0</xdr:rowOff>
    </xdr:from>
    <xdr:to>
      <xdr:col>11</xdr:col>
      <xdr:colOff>304800</xdr:colOff>
      <xdr:row>10</xdr:row>
      <xdr:rowOff>0</xdr:rowOff>
    </xdr:to>
    <xdr:sp macro="" textlink="">
      <xdr:nvSpPr>
        <xdr:cNvPr id="12" name="Rectangle: Rounded Corners 11">
          <a:extLst>
            <a:ext uri="{FF2B5EF4-FFF2-40B4-BE49-F238E27FC236}">
              <a16:creationId xmlns:a16="http://schemas.microsoft.com/office/drawing/2014/main" id="{4BB8B898-29A4-41E6-99E7-33D243E4BA6A}"/>
            </a:ext>
          </a:extLst>
        </xdr:cNvPr>
        <xdr:cNvSpPr/>
      </xdr:nvSpPr>
      <xdr:spPr>
        <a:xfrm>
          <a:off x="6492240" y="1097280"/>
          <a:ext cx="518160" cy="7315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83820</xdr:colOff>
      <xdr:row>6</xdr:row>
      <xdr:rowOff>0</xdr:rowOff>
    </xdr:from>
    <xdr:to>
      <xdr:col>14</xdr:col>
      <xdr:colOff>601980</xdr:colOff>
      <xdr:row>10</xdr:row>
      <xdr:rowOff>0</xdr:rowOff>
    </xdr:to>
    <xdr:sp macro="" textlink="">
      <xdr:nvSpPr>
        <xdr:cNvPr id="13" name="Rectangle: Rounded Corners 12">
          <a:extLst>
            <a:ext uri="{FF2B5EF4-FFF2-40B4-BE49-F238E27FC236}">
              <a16:creationId xmlns:a16="http://schemas.microsoft.com/office/drawing/2014/main" id="{8A7736F7-5407-4B43-B8BE-19D43C29B1A3}"/>
            </a:ext>
          </a:extLst>
        </xdr:cNvPr>
        <xdr:cNvSpPr/>
      </xdr:nvSpPr>
      <xdr:spPr>
        <a:xfrm>
          <a:off x="8618220" y="1097280"/>
          <a:ext cx="518160" cy="7315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6</xdr:row>
      <xdr:rowOff>91440</xdr:rowOff>
    </xdr:from>
    <xdr:to>
      <xdr:col>3</xdr:col>
      <xdr:colOff>0</xdr:colOff>
      <xdr:row>8</xdr:row>
      <xdr:rowOff>0</xdr:rowOff>
    </xdr:to>
    <xdr:sp macro="" textlink="">
      <xdr:nvSpPr>
        <xdr:cNvPr id="15" name="TextBox 14">
          <a:extLst>
            <a:ext uri="{FF2B5EF4-FFF2-40B4-BE49-F238E27FC236}">
              <a16:creationId xmlns:a16="http://schemas.microsoft.com/office/drawing/2014/main" id="{660ECCF6-0D91-41B9-0BB1-69FC74123122}"/>
            </a:ext>
          </a:extLst>
        </xdr:cNvPr>
        <xdr:cNvSpPr txBox="1"/>
      </xdr:nvSpPr>
      <xdr:spPr>
        <a:xfrm>
          <a:off x="609600" y="1188720"/>
          <a:ext cx="1219200" cy="27432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TOTAL </a:t>
          </a:r>
          <a:r>
            <a:rPr lang="en-IN" sz="1100" b="1">
              <a:solidFill>
                <a:schemeClr val="dk1"/>
              </a:solidFill>
              <a:latin typeface="+mn-lt"/>
              <a:ea typeface="+mn-ea"/>
              <a:cs typeface="+mn-cs"/>
            </a:rPr>
            <a:t>SALES</a:t>
          </a:r>
        </a:p>
      </xdr:txBody>
    </xdr:sp>
    <xdr:clientData/>
  </xdr:twoCellAnchor>
  <xdr:twoCellAnchor>
    <xdr:from>
      <xdr:col>4</xdr:col>
      <xdr:colOff>373380</xdr:colOff>
      <xdr:row>6</xdr:row>
      <xdr:rowOff>91440</xdr:rowOff>
    </xdr:from>
    <xdr:to>
      <xdr:col>6</xdr:col>
      <xdr:colOff>472440</xdr:colOff>
      <xdr:row>8</xdr:row>
      <xdr:rowOff>0</xdr:rowOff>
    </xdr:to>
    <xdr:sp macro="" textlink="">
      <xdr:nvSpPr>
        <xdr:cNvPr id="16" name="TextBox 15">
          <a:extLst>
            <a:ext uri="{FF2B5EF4-FFF2-40B4-BE49-F238E27FC236}">
              <a16:creationId xmlns:a16="http://schemas.microsoft.com/office/drawing/2014/main" id="{7EF8C72C-E874-4B51-BD65-64EA8548FD33}"/>
            </a:ext>
          </a:extLst>
        </xdr:cNvPr>
        <xdr:cNvSpPr txBox="1"/>
      </xdr:nvSpPr>
      <xdr:spPr>
        <a:xfrm>
          <a:off x="2811780" y="1188720"/>
          <a:ext cx="1318260" cy="27432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 TOTAL </a:t>
          </a:r>
          <a:r>
            <a:rPr lang="en-IN" sz="1100" b="1" baseline="0"/>
            <a:t> ALLOCATED</a:t>
          </a:r>
          <a:endParaRPr lang="en-IN" sz="1100" b="1"/>
        </a:p>
      </xdr:txBody>
    </xdr:sp>
    <xdr:clientData/>
  </xdr:twoCellAnchor>
  <xdr:twoCellAnchor>
    <xdr:from>
      <xdr:col>8</xdr:col>
      <xdr:colOff>45720</xdr:colOff>
      <xdr:row>6</xdr:row>
      <xdr:rowOff>91440</xdr:rowOff>
    </xdr:from>
    <xdr:to>
      <xdr:col>10</xdr:col>
      <xdr:colOff>144780</xdr:colOff>
      <xdr:row>8</xdr:row>
      <xdr:rowOff>0</xdr:rowOff>
    </xdr:to>
    <xdr:sp macro="" textlink="">
      <xdr:nvSpPr>
        <xdr:cNvPr id="21" name="TextBox 20">
          <a:extLst>
            <a:ext uri="{FF2B5EF4-FFF2-40B4-BE49-F238E27FC236}">
              <a16:creationId xmlns:a16="http://schemas.microsoft.com/office/drawing/2014/main" id="{F380B2F2-65AB-443A-9C73-F82566912167}"/>
            </a:ext>
          </a:extLst>
        </xdr:cNvPr>
        <xdr:cNvSpPr txBox="1"/>
      </xdr:nvSpPr>
      <xdr:spPr>
        <a:xfrm>
          <a:off x="4922520" y="1188720"/>
          <a:ext cx="1318260" cy="27432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   TOTAL </a:t>
          </a:r>
          <a:r>
            <a:rPr lang="en-IN" sz="1100" b="1" baseline="0"/>
            <a:t> REMANING</a:t>
          </a:r>
          <a:endParaRPr lang="en-IN" sz="1100" b="1"/>
        </a:p>
      </xdr:txBody>
    </xdr:sp>
    <xdr:clientData/>
  </xdr:twoCellAnchor>
  <xdr:twoCellAnchor>
    <xdr:from>
      <xdr:col>11</xdr:col>
      <xdr:colOff>388620</xdr:colOff>
      <xdr:row>6</xdr:row>
      <xdr:rowOff>91440</xdr:rowOff>
    </xdr:from>
    <xdr:to>
      <xdr:col>13</xdr:col>
      <xdr:colOff>487680</xdr:colOff>
      <xdr:row>8</xdr:row>
      <xdr:rowOff>0</xdr:rowOff>
    </xdr:to>
    <xdr:sp macro="" textlink="">
      <xdr:nvSpPr>
        <xdr:cNvPr id="23" name="TextBox 22">
          <a:extLst>
            <a:ext uri="{FF2B5EF4-FFF2-40B4-BE49-F238E27FC236}">
              <a16:creationId xmlns:a16="http://schemas.microsoft.com/office/drawing/2014/main" id="{807670AA-7FFF-458A-AF43-0195116699FE}"/>
            </a:ext>
          </a:extLst>
        </xdr:cNvPr>
        <xdr:cNvSpPr txBox="1"/>
      </xdr:nvSpPr>
      <xdr:spPr>
        <a:xfrm>
          <a:off x="7094220" y="1188720"/>
          <a:ext cx="1318260" cy="27432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TOTAL </a:t>
          </a:r>
          <a:r>
            <a:rPr lang="en-IN" sz="1100" b="1" baseline="0"/>
            <a:t> EXPENSE ID</a:t>
          </a:r>
          <a:endParaRPr lang="en-IN" sz="1100" b="1"/>
        </a:p>
      </xdr:txBody>
    </xdr:sp>
    <xdr:clientData/>
  </xdr:twoCellAnchor>
  <xdr:twoCellAnchor>
    <xdr:from>
      <xdr:col>15</xdr:col>
      <xdr:colOff>30480</xdr:colOff>
      <xdr:row>6</xdr:row>
      <xdr:rowOff>83820</xdr:rowOff>
    </xdr:from>
    <xdr:to>
      <xdr:col>17</xdr:col>
      <xdr:colOff>129540</xdr:colOff>
      <xdr:row>7</xdr:row>
      <xdr:rowOff>175260</xdr:rowOff>
    </xdr:to>
    <xdr:sp macro="" textlink="">
      <xdr:nvSpPr>
        <xdr:cNvPr id="24" name="TextBox 23">
          <a:extLst>
            <a:ext uri="{FF2B5EF4-FFF2-40B4-BE49-F238E27FC236}">
              <a16:creationId xmlns:a16="http://schemas.microsoft.com/office/drawing/2014/main" id="{D86C20CC-C1B7-4AB5-AF1B-09D1516ADA5F}"/>
            </a:ext>
          </a:extLst>
        </xdr:cNvPr>
        <xdr:cNvSpPr txBox="1"/>
      </xdr:nvSpPr>
      <xdr:spPr>
        <a:xfrm>
          <a:off x="9174480" y="1181100"/>
          <a:ext cx="1318260" cy="27432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    TOTAL </a:t>
          </a:r>
          <a:r>
            <a:rPr lang="en-IN" sz="1100" b="1" baseline="0"/>
            <a:t> YES / NO </a:t>
          </a:r>
          <a:endParaRPr lang="en-IN" sz="1100" b="1"/>
        </a:p>
      </xdr:txBody>
    </xdr:sp>
    <xdr:clientData/>
  </xdr:twoCellAnchor>
  <xdr:twoCellAnchor editAs="oneCell">
    <xdr:from>
      <xdr:col>17</xdr:col>
      <xdr:colOff>525780</xdr:colOff>
      <xdr:row>6</xdr:row>
      <xdr:rowOff>15240</xdr:rowOff>
    </xdr:from>
    <xdr:to>
      <xdr:col>21</xdr:col>
      <xdr:colOff>0</xdr:colOff>
      <xdr:row>10</xdr:row>
      <xdr:rowOff>15240</xdr:rowOff>
    </xdr:to>
    <mc:AlternateContent xmlns:mc="http://schemas.openxmlformats.org/markup-compatibility/2006">
      <mc:Choice xmlns:a14="http://schemas.microsoft.com/office/drawing/2010/main" Requires="a14">
        <xdr:graphicFrame macro="">
          <xdr:nvGraphicFramePr>
            <xdr:cNvPr id="27" name="Approved 2">
              <a:extLst>
                <a:ext uri="{FF2B5EF4-FFF2-40B4-BE49-F238E27FC236}">
                  <a16:creationId xmlns:a16="http://schemas.microsoft.com/office/drawing/2014/main" id="{85B5414E-606C-4924-BB0F-663A8B14D724}"/>
                </a:ext>
              </a:extLst>
            </xdr:cNvPr>
            <xdr:cNvGraphicFramePr/>
          </xdr:nvGraphicFramePr>
          <xdr:xfrm>
            <a:off x="0" y="0"/>
            <a:ext cx="0" cy="0"/>
          </xdr:xfrm>
          <a:graphic>
            <a:graphicData uri="http://schemas.microsoft.com/office/drawing/2010/slicer">
              <sle:slicer xmlns:sle="http://schemas.microsoft.com/office/drawing/2010/slicer" name="Approved 2"/>
            </a:graphicData>
          </a:graphic>
        </xdr:graphicFrame>
      </mc:Choice>
      <mc:Fallback>
        <xdr:sp macro="" textlink="">
          <xdr:nvSpPr>
            <xdr:cNvPr id="0" name=""/>
            <xdr:cNvSpPr>
              <a:spLocks noTextEdit="1"/>
            </xdr:cNvSpPr>
          </xdr:nvSpPr>
          <xdr:spPr>
            <a:xfrm>
              <a:off x="10845068" y="1100121"/>
              <a:ext cx="1902288" cy="723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17</xdr:row>
      <xdr:rowOff>0</xdr:rowOff>
    </xdr:from>
    <xdr:to>
      <xdr:col>3</xdr:col>
      <xdr:colOff>304800</xdr:colOff>
      <xdr:row>24</xdr:row>
      <xdr:rowOff>0</xdr:rowOff>
    </xdr:to>
    <mc:AlternateContent xmlns:mc="http://schemas.openxmlformats.org/markup-compatibility/2006">
      <mc:Choice xmlns:a14="http://schemas.microsoft.com/office/drawing/2010/main" Requires="a14">
        <xdr:graphicFrame macro="">
          <xdr:nvGraphicFramePr>
            <xdr:cNvPr id="28" name="Department 2">
              <a:extLst>
                <a:ext uri="{FF2B5EF4-FFF2-40B4-BE49-F238E27FC236}">
                  <a16:creationId xmlns:a16="http://schemas.microsoft.com/office/drawing/2014/main" id="{E34540CC-F461-4F43-8997-1DD886D04077}"/>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29540" y="3073831"/>
              <a:ext cx="1996311" cy="126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11</xdr:row>
      <xdr:rowOff>0</xdr:rowOff>
    </xdr:from>
    <xdr:to>
      <xdr:col>3</xdr:col>
      <xdr:colOff>304800</xdr:colOff>
      <xdr:row>17</xdr:row>
      <xdr:rowOff>0</xdr:rowOff>
    </xdr:to>
    <mc:AlternateContent xmlns:mc="http://schemas.openxmlformats.org/markup-compatibility/2006">
      <mc:Choice xmlns:a14="http://schemas.microsoft.com/office/drawing/2010/main" Requires="a14">
        <xdr:graphicFrame macro="">
          <xdr:nvGraphicFramePr>
            <xdr:cNvPr id="29" name="Payment Method 2">
              <a:extLst>
                <a:ext uri="{FF2B5EF4-FFF2-40B4-BE49-F238E27FC236}">
                  <a16:creationId xmlns:a16="http://schemas.microsoft.com/office/drawing/2014/main" id="{D74E6351-2246-4743-8306-4FAF47774017}"/>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dr:sp macro="" textlink="">
          <xdr:nvSpPr>
            <xdr:cNvPr id="0" name=""/>
            <xdr:cNvSpPr>
              <a:spLocks noTextEdit="1"/>
            </xdr:cNvSpPr>
          </xdr:nvSpPr>
          <xdr:spPr>
            <a:xfrm>
              <a:off x="114300" y="1988949"/>
              <a:ext cx="2011551" cy="1084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126150</xdr:colOff>
      <xdr:row>24</xdr:row>
      <xdr:rowOff>0</xdr:rowOff>
    </xdr:from>
    <xdr:to>
      <xdr:col>3</xdr:col>
      <xdr:colOff>304800</xdr:colOff>
      <xdr:row>38</xdr:row>
      <xdr:rowOff>139680</xdr:rowOff>
    </xdr:to>
    <mc:AlternateContent xmlns:mc="http://schemas.openxmlformats.org/markup-compatibility/2006">
      <mc:Choice xmlns:a14="http://schemas.microsoft.com/office/drawing/2010/main" Requires="a14">
        <xdr:graphicFrame macro="">
          <xdr:nvGraphicFramePr>
            <xdr:cNvPr id="30" name="Category 2">
              <a:extLst>
                <a:ext uri="{FF2B5EF4-FFF2-40B4-BE49-F238E27FC236}">
                  <a16:creationId xmlns:a16="http://schemas.microsoft.com/office/drawing/2014/main" id="{05527198-BE70-4919-862E-7590EC3DFAD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26150" y="4339525"/>
              <a:ext cx="1999701" cy="2671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6</xdr:row>
      <xdr:rowOff>106680</xdr:rowOff>
    </xdr:from>
    <xdr:to>
      <xdr:col>14</xdr:col>
      <xdr:colOff>423840</xdr:colOff>
      <xdr:row>7</xdr:row>
      <xdr:rowOff>103800</xdr:rowOff>
    </xdr:to>
    <xdr:pic>
      <xdr:nvPicPr>
        <xdr:cNvPr id="32" name="Graphic 31" descr="Checkmark with solid fill">
          <a:extLst>
            <a:ext uri="{FF2B5EF4-FFF2-40B4-BE49-F238E27FC236}">
              <a16:creationId xmlns:a16="http://schemas.microsoft.com/office/drawing/2014/main" id="{7543E67B-8D9E-F084-BA9C-7ED2501FAE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78240" y="1203960"/>
          <a:ext cx="180000" cy="180000"/>
        </a:xfrm>
        <a:prstGeom prst="rect">
          <a:avLst/>
        </a:prstGeom>
      </xdr:spPr>
    </xdr:pic>
    <xdr:clientData/>
  </xdr:twoCellAnchor>
  <xdr:twoCellAnchor editAs="oneCell">
    <xdr:from>
      <xdr:col>14</xdr:col>
      <xdr:colOff>212820</xdr:colOff>
      <xdr:row>8</xdr:row>
      <xdr:rowOff>60960</xdr:rowOff>
    </xdr:from>
    <xdr:to>
      <xdr:col>14</xdr:col>
      <xdr:colOff>464820</xdr:colOff>
      <xdr:row>9</xdr:row>
      <xdr:rowOff>130080</xdr:rowOff>
    </xdr:to>
    <xdr:pic>
      <xdr:nvPicPr>
        <xdr:cNvPr id="34" name="Graphic 33" descr="Close with solid fill">
          <a:extLst>
            <a:ext uri="{FF2B5EF4-FFF2-40B4-BE49-F238E27FC236}">
              <a16:creationId xmlns:a16="http://schemas.microsoft.com/office/drawing/2014/main" id="{083971F5-E449-C8D6-2CA2-0A96AADA19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8747220" y="1524000"/>
          <a:ext cx="252000" cy="252000"/>
        </a:xfrm>
        <a:prstGeom prst="rect">
          <a:avLst/>
        </a:prstGeom>
      </xdr:spPr>
    </xdr:pic>
    <xdr:clientData/>
  </xdr:twoCellAnchor>
  <xdr:twoCellAnchor editAs="oneCell">
    <xdr:from>
      <xdr:col>0</xdr:col>
      <xdr:colOff>177600</xdr:colOff>
      <xdr:row>6</xdr:row>
      <xdr:rowOff>116640</xdr:rowOff>
    </xdr:from>
    <xdr:to>
      <xdr:col>0</xdr:col>
      <xdr:colOff>573600</xdr:colOff>
      <xdr:row>8</xdr:row>
      <xdr:rowOff>146880</xdr:rowOff>
    </xdr:to>
    <xdr:pic>
      <xdr:nvPicPr>
        <xdr:cNvPr id="36" name="Graphic 35" descr="Money with solid fill">
          <a:extLst>
            <a:ext uri="{FF2B5EF4-FFF2-40B4-BE49-F238E27FC236}">
              <a16:creationId xmlns:a16="http://schemas.microsoft.com/office/drawing/2014/main" id="{DFEEB350-8788-E866-F2EC-3672372877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7600" y="1213920"/>
          <a:ext cx="396000" cy="396000"/>
        </a:xfrm>
        <a:prstGeom prst="rect">
          <a:avLst/>
        </a:prstGeom>
      </xdr:spPr>
    </xdr:pic>
    <xdr:clientData/>
  </xdr:twoCellAnchor>
  <xdr:twoCellAnchor editAs="oneCell">
    <xdr:from>
      <xdr:col>3</xdr:col>
      <xdr:colOff>510540</xdr:colOff>
      <xdr:row>7</xdr:row>
      <xdr:rowOff>0</xdr:rowOff>
    </xdr:from>
    <xdr:to>
      <xdr:col>4</xdr:col>
      <xdr:colOff>260940</xdr:colOff>
      <xdr:row>8</xdr:row>
      <xdr:rowOff>177120</xdr:rowOff>
    </xdr:to>
    <xdr:pic>
      <xdr:nvPicPr>
        <xdr:cNvPr id="38" name="Graphic 37" descr="Gauge with solid fill">
          <a:extLst>
            <a:ext uri="{FF2B5EF4-FFF2-40B4-BE49-F238E27FC236}">
              <a16:creationId xmlns:a16="http://schemas.microsoft.com/office/drawing/2014/main" id="{B7299817-A658-2129-C0F6-4A6215F6246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39340" y="1280160"/>
          <a:ext cx="360000" cy="360000"/>
        </a:xfrm>
        <a:prstGeom prst="rect">
          <a:avLst/>
        </a:prstGeom>
      </xdr:spPr>
    </xdr:pic>
    <xdr:clientData/>
  </xdr:twoCellAnchor>
  <xdr:twoCellAnchor editAs="oneCell">
    <xdr:from>
      <xdr:col>7</xdr:col>
      <xdr:colOff>198120</xdr:colOff>
      <xdr:row>6</xdr:row>
      <xdr:rowOff>152640</xdr:rowOff>
    </xdr:from>
    <xdr:to>
      <xdr:col>7</xdr:col>
      <xdr:colOff>594120</xdr:colOff>
      <xdr:row>9</xdr:row>
      <xdr:rowOff>0</xdr:rowOff>
    </xdr:to>
    <xdr:pic>
      <xdr:nvPicPr>
        <xdr:cNvPr id="40" name="Graphic 39" descr="Target with solid fill">
          <a:extLst>
            <a:ext uri="{FF2B5EF4-FFF2-40B4-BE49-F238E27FC236}">
              <a16:creationId xmlns:a16="http://schemas.microsoft.com/office/drawing/2014/main" id="{5035FEE2-89BF-E8B2-905B-84FB0B6C84A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65320" y="1249920"/>
          <a:ext cx="396000" cy="396000"/>
        </a:xfrm>
        <a:prstGeom prst="rect">
          <a:avLst/>
        </a:prstGeom>
      </xdr:spPr>
    </xdr:pic>
    <xdr:clientData/>
  </xdr:twoCellAnchor>
  <xdr:twoCellAnchor editAs="oneCell">
    <xdr:from>
      <xdr:col>10</xdr:col>
      <xdr:colOff>526020</xdr:colOff>
      <xdr:row>7</xdr:row>
      <xdr:rowOff>0</xdr:rowOff>
    </xdr:from>
    <xdr:to>
      <xdr:col>11</xdr:col>
      <xdr:colOff>276420</xdr:colOff>
      <xdr:row>8</xdr:row>
      <xdr:rowOff>177120</xdr:rowOff>
    </xdr:to>
    <xdr:pic>
      <xdr:nvPicPr>
        <xdr:cNvPr id="42" name="Graphic 41" descr="Users with solid fill">
          <a:extLst>
            <a:ext uri="{FF2B5EF4-FFF2-40B4-BE49-F238E27FC236}">
              <a16:creationId xmlns:a16="http://schemas.microsoft.com/office/drawing/2014/main" id="{A8E402E2-BFDE-F59E-2596-3EDBBA45122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622020" y="1280160"/>
          <a:ext cx="360000" cy="360000"/>
        </a:xfrm>
        <a:prstGeom prst="rect">
          <a:avLst/>
        </a:prstGeom>
      </xdr:spPr>
    </xdr:pic>
    <xdr:clientData/>
  </xdr:twoCellAnchor>
  <xdr:twoCellAnchor>
    <xdr:from>
      <xdr:col>3</xdr:col>
      <xdr:colOff>0</xdr:colOff>
      <xdr:row>2</xdr:row>
      <xdr:rowOff>7620</xdr:rowOff>
    </xdr:from>
    <xdr:to>
      <xdr:col>18</xdr:col>
      <xdr:colOff>0</xdr:colOff>
      <xdr:row>4</xdr:row>
      <xdr:rowOff>7620</xdr:rowOff>
    </xdr:to>
    <xdr:sp macro="" textlink="">
      <xdr:nvSpPr>
        <xdr:cNvPr id="43" name="TextBox 42">
          <a:extLst>
            <a:ext uri="{FF2B5EF4-FFF2-40B4-BE49-F238E27FC236}">
              <a16:creationId xmlns:a16="http://schemas.microsoft.com/office/drawing/2014/main" id="{56D85F18-70D7-41AF-E593-05EDB3C28D37}"/>
            </a:ext>
          </a:extLst>
        </xdr:cNvPr>
        <xdr:cNvSpPr txBox="1"/>
      </xdr:nvSpPr>
      <xdr:spPr>
        <a:xfrm>
          <a:off x="1828800" y="373380"/>
          <a:ext cx="9144000" cy="3657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Times New Roman" panose="02020603050405020304" pitchFamily="18" charset="0"/>
              <a:cs typeface="Times New Roman" panose="02020603050405020304" pitchFamily="18" charset="0"/>
            </a:rPr>
            <a:t>Corporate Expense Analysis Dashboard </a:t>
          </a:r>
        </a:p>
      </xdr:txBody>
    </xdr:sp>
    <xdr:clientData/>
  </xdr:twoCellAnchor>
  <xdr:twoCellAnchor>
    <xdr:from>
      <xdr:col>3</xdr:col>
      <xdr:colOff>556260</xdr:colOff>
      <xdr:row>24</xdr:row>
      <xdr:rowOff>0</xdr:rowOff>
    </xdr:from>
    <xdr:to>
      <xdr:col>12</xdr:col>
      <xdr:colOff>0</xdr:colOff>
      <xdr:row>38</xdr:row>
      <xdr:rowOff>0</xdr:rowOff>
    </xdr:to>
    <xdr:graphicFrame macro="">
      <xdr:nvGraphicFramePr>
        <xdr:cNvPr id="44" name="Chart 43">
          <a:extLst>
            <a:ext uri="{FF2B5EF4-FFF2-40B4-BE49-F238E27FC236}">
              <a16:creationId xmlns:a16="http://schemas.microsoft.com/office/drawing/2014/main" id="{582FAF18-5718-42B5-9F98-5D3928861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0</xdr:colOff>
      <xdr:row>11</xdr:row>
      <xdr:rowOff>0</xdr:rowOff>
    </xdr:from>
    <xdr:to>
      <xdr:col>9</xdr:col>
      <xdr:colOff>0</xdr:colOff>
      <xdr:row>23</xdr:row>
      <xdr:rowOff>0</xdr:rowOff>
    </xdr:to>
    <xdr:graphicFrame macro="">
      <xdr:nvGraphicFramePr>
        <xdr:cNvPr id="45" name="Chart 44">
          <a:extLst>
            <a:ext uri="{FF2B5EF4-FFF2-40B4-BE49-F238E27FC236}">
              <a16:creationId xmlns:a16="http://schemas.microsoft.com/office/drawing/2014/main" id="{FAE2E750-B7E9-4A50-A46D-85E8CC453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243840</xdr:colOff>
      <xdr:row>11</xdr:row>
      <xdr:rowOff>0</xdr:rowOff>
    </xdr:from>
    <xdr:to>
      <xdr:col>15</xdr:col>
      <xdr:colOff>137160</xdr:colOff>
      <xdr:row>23</xdr:row>
      <xdr:rowOff>0</xdr:rowOff>
    </xdr:to>
    <xdr:graphicFrame macro="">
      <xdr:nvGraphicFramePr>
        <xdr:cNvPr id="46" name="Chart 45">
          <a:extLst>
            <a:ext uri="{FF2B5EF4-FFF2-40B4-BE49-F238E27FC236}">
              <a16:creationId xmlns:a16="http://schemas.microsoft.com/office/drawing/2014/main" id="{223CD0E4-D0AB-488C-9324-72325BB80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342899</xdr:colOff>
      <xdr:row>24</xdr:row>
      <xdr:rowOff>0</xdr:rowOff>
    </xdr:from>
    <xdr:to>
      <xdr:col>21</xdr:col>
      <xdr:colOff>0</xdr:colOff>
      <xdr:row>38</xdr:row>
      <xdr:rowOff>0</xdr:rowOff>
    </xdr:to>
    <xdr:graphicFrame macro="">
      <xdr:nvGraphicFramePr>
        <xdr:cNvPr id="47" name="Chart 46">
          <a:extLst>
            <a:ext uri="{FF2B5EF4-FFF2-40B4-BE49-F238E27FC236}">
              <a16:creationId xmlns:a16="http://schemas.microsoft.com/office/drawing/2014/main" id="{74031202-680A-474F-9695-41D912999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304801</xdr:colOff>
      <xdr:row>11</xdr:row>
      <xdr:rowOff>0</xdr:rowOff>
    </xdr:from>
    <xdr:to>
      <xdr:col>21</xdr:col>
      <xdr:colOff>0</xdr:colOff>
      <xdr:row>23</xdr:row>
      <xdr:rowOff>0</xdr:rowOff>
    </xdr:to>
    <xdr:graphicFrame macro="">
      <xdr:nvGraphicFramePr>
        <xdr:cNvPr id="49" name="Chart 48">
          <a:extLst>
            <a:ext uri="{FF2B5EF4-FFF2-40B4-BE49-F238E27FC236}">
              <a16:creationId xmlns:a16="http://schemas.microsoft.com/office/drawing/2014/main" id="{80602947-A0D9-49EB-B2AC-CA2638BEF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69273</xdr:colOff>
      <xdr:row>7</xdr:row>
      <xdr:rowOff>170033</xdr:rowOff>
    </xdr:from>
    <xdr:to>
      <xdr:col>3</xdr:col>
      <xdr:colOff>69273</xdr:colOff>
      <xdr:row>9</xdr:row>
      <xdr:rowOff>170033</xdr:rowOff>
    </xdr:to>
    <xdr:sp macro="" textlink="'pivot '!H4">
      <xdr:nvSpPr>
        <xdr:cNvPr id="51" name="TextBox 50">
          <a:extLst>
            <a:ext uri="{FF2B5EF4-FFF2-40B4-BE49-F238E27FC236}">
              <a16:creationId xmlns:a16="http://schemas.microsoft.com/office/drawing/2014/main" id="{01F4FEB4-41F8-42DD-8A27-AE5720F85C3B}"/>
            </a:ext>
          </a:extLst>
        </xdr:cNvPr>
        <xdr:cNvSpPr txBox="1"/>
      </xdr:nvSpPr>
      <xdr:spPr>
        <a:xfrm>
          <a:off x="680133" y="1448430"/>
          <a:ext cx="1221719" cy="36525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6461A5-4506-4E6F-B40F-85E32E62932F}" type="TxLink">
            <a:rPr lang="en-US" sz="1200" b="1" i="0" u="none" strike="noStrike">
              <a:solidFill>
                <a:srgbClr val="000000"/>
              </a:solidFill>
              <a:latin typeface="Aptos Narrow"/>
              <a:ea typeface="+mn-ea"/>
              <a:cs typeface="+mn-cs"/>
            </a:rPr>
            <a:t> 1,84,05,183.00 </a:t>
          </a:fld>
          <a:endParaRPr lang="en-IN" sz="1800" b="1">
            <a:solidFill>
              <a:schemeClr val="dk1"/>
            </a:solidFill>
            <a:latin typeface="+mn-lt"/>
            <a:ea typeface="+mn-ea"/>
            <a:cs typeface="+mn-cs"/>
          </a:endParaRPr>
        </a:p>
      </xdr:txBody>
    </xdr:sp>
    <xdr:clientData/>
  </xdr:twoCellAnchor>
  <xdr:twoCellAnchor>
    <xdr:from>
      <xdr:col>4</xdr:col>
      <xdr:colOff>434530</xdr:colOff>
      <xdr:row>8</xdr:row>
      <xdr:rowOff>0</xdr:rowOff>
    </xdr:from>
    <xdr:to>
      <xdr:col>6</xdr:col>
      <xdr:colOff>434530</xdr:colOff>
      <xdr:row>10</xdr:row>
      <xdr:rowOff>0</xdr:rowOff>
    </xdr:to>
    <xdr:sp macro="" textlink="'pivot '!H7">
      <xdr:nvSpPr>
        <xdr:cNvPr id="52" name="TextBox 51">
          <a:extLst>
            <a:ext uri="{FF2B5EF4-FFF2-40B4-BE49-F238E27FC236}">
              <a16:creationId xmlns:a16="http://schemas.microsoft.com/office/drawing/2014/main" id="{827685E6-81F5-4741-AAD0-23C254115FBF}"/>
            </a:ext>
          </a:extLst>
        </xdr:cNvPr>
        <xdr:cNvSpPr txBox="1"/>
      </xdr:nvSpPr>
      <xdr:spPr>
        <a:xfrm>
          <a:off x="2877968" y="1461025"/>
          <a:ext cx="1221719" cy="36525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EFA3F-63FD-4895-95C7-84FE6EC04C9F}" type="TxLink">
            <a:rPr lang="en-US" sz="1200" b="1" i="0" u="none" strike="noStrike">
              <a:solidFill>
                <a:srgbClr val="000000"/>
              </a:solidFill>
              <a:latin typeface="Aptos Narrow"/>
              <a:ea typeface="+mn-ea"/>
              <a:cs typeface="+mn-cs"/>
            </a:rPr>
            <a:t> 2,29,53,950.00 </a:t>
          </a:fld>
          <a:endParaRPr lang="en-IN" sz="1800" b="1">
            <a:solidFill>
              <a:schemeClr val="dk1"/>
            </a:solidFill>
            <a:latin typeface="+mn-lt"/>
            <a:ea typeface="+mn-ea"/>
            <a:cs typeface="+mn-cs"/>
          </a:endParaRPr>
        </a:p>
      </xdr:txBody>
    </xdr:sp>
    <xdr:clientData/>
  </xdr:twoCellAnchor>
  <xdr:twoCellAnchor>
    <xdr:from>
      <xdr:col>8</xdr:col>
      <xdr:colOff>157439</xdr:colOff>
      <xdr:row>8</xdr:row>
      <xdr:rowOff>0</xdr:rowOff>
    </xdr:from>
    <xdr:to>
      <xdr:col>10</xdr:col>
      <xdr:colOff>157439</xdr:colOff>
      <xdr:row>10</xdr:row>
      <xdr:rowOff>0</xdr:rowOff>
    </xdr:to>
    <xdr:sp macro="" textlink="'pivot '!H10">
      <xdr:nvSpPr>
        <xdr:cNvPr id="53" name="TextBox 52">
          <a:extLst>
            <a:ext uri="{FF2B5EF4-FFF2-40B4-BE49-F238E27FC236}">
              <a16:creationId xmlns:a16="http://schemas.microsoft.com/office/drawing/2014/main" id="{13E0CBBD-CEC8-4054-B76E-5162D6F2BD1C}"/>
            </a:ext>
          </a:extLst>
        </xdr:cNvPr>
        <xdr:cNvSpPr txBox="1"/>
      </xdr:nvSpPr>
      <xdr:spPr>
        <a:xfrm>
          <a:off x="5044315" y="1461025"/>
          <a:ext cx="1221719" cy="365256"/>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542C6-B354-43A2-9D6B-4764563B202B}" type="TxLink">
            <a:rPr lang="en-US" sz="1200" b="1" i="0" u="none" strike="noStrike">
              <a:solidFill>
                <a:srgbClr val="000000"/>
              </a:solidFill>
              <a:latin typeface="Aptos Narrow"/>
              <a:ea typeface="+mn-ea"/>
              <a:cs typeface="+mn-cs"/>
            </a:rPr>
            <a:t> 45,48,767.00 </a:t>
          </a:fld>
          <a:endParaRPr lang="en-IN" sz="2000" b="1">
            <a:solidFill>
              <a:schemeClr val="dk1"/>
            </a:solidFill>
            <a:latin typeface="+mn-lt"/>
            <a:ea typeface="+mn-ea"/>
            <a:cs typeface="+mn-cs"/>
          </a:endParaRPr>
        </a:p>
      </xdr:txBody>
    </xdr:sp>
    <xdr:clientData/>
  </xdr:twoCellAnchor>
  <xdr:twoCellAnchor>
    <xdr:from>
      <xdr:col>11</xdr:col>
      <xdr:colOff>440826</xdr:colOff>
      <xdr:row>7</xdr:row>
      <xdr:rowOff>152400</xdr:rowOff>
    </xdr:from>
    <xdr:to>
      <xdr:col>13</xdr:col>
      <xdr:colOff>440826</xdr:colOff>
      <xdr:row>10</xdr:row>
      <xdr:rowOff>0</xdr:rowOff>
    </xdr:to>
    <xdr:sp macro="" textlink="'pivot '!Q4">
      <xdr:nvSpPr>
        <xdr:cNvPr id="54" name="TextBox 53">
          <a:extLst>
            <a:ext uri="{FF2B5EF4-FFF2-40B4-BE49-F238E27FC236}">
              <a16:creationId xmlns:a16="http://schemas.microsoft.com/office/drawing/2014/main" id="{53CEFFB7-3437-45ED-B103-254E5E6AD5A6}"/>
            </a:ext>
          </a:extLst>
        </xdr:cNvPr>
        <xdr:cNvSpPr txBox="1"/>
      </xdr:nvSpPr>
      <xdr:spPr>
        <a:xfrm>
          <a:off x="7160281" y="1430797"/>
          <a:ext cx="1221719" cy="395484"/>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FFD813-69B4-466B-926C-D3435A7A1810}" type="TxLink">
            <a:rPr lang="en-US" sz="1200" b="1" i="0" u="none" strike="noStrike">
              <a:solidFill>
                <a:srgbClr val="000000"/>
              </a:solidFill>
              <a:latin typeface="Aptos Narrow"/>
              <a:ea typeface="+mn-ea"/>
              <a:cs typeface="+mn-cs"/>
            </a:rPr>
            <a:t>415</a:t>
          </a:fld>
          <a:endParaRPr lang="en-IN" sz="2400" b="1">
            <a:solidFill>
              <a:schemeClr val="dk1"/>
            </a:solidFill>
            <a:latin typeface="+mn-lt"/>
            <a:ea typeface="+mn-ea"/>
            <a:cs typeface="+mn-cs"/>
          </a:endParaRPr>
        </a:p>
      </xdr:txBody>
    </xdr:sp>
    <xdr:clientData/>
  </xdr:twoCellAnchor>
  <xdr:twoCellAnchor>
    <xdr:from>
      <xdr:col>15</xdr:col>
      <xdr:colOff>132248</xdr:colOff>
      <xdr:row>7</xdr:row>
      <xdr:rowOff>152400</xdr:rowOff>
    </xdr:from>
    <xdr:to>
      <xdr:col>17</xdr:col>
      <xdr:colOff>132248</xdr:colOff>
      <xdr:row>10</xdr:row>
      <xdr:rowOff>0</xdr:rowOff>
    </xdr:to>
    <xdr:sp macro="" textlink="'pivot '!O6">
      <xdr:nvSpPr>
        <xdr:cNvPr id="55" name="TextBox 54">
          <a:extLst>
            <a:ext uri="{FF2B5EF4-FFF2-40B4-BE49-F238E27FC236}">
              <a16:creationId xmlns:a16="http://schemas.microsoft.com/office/drawing/2014/main" id="{4E1D2963-E6EC-47CA-A0C9-1A5DEB1D1418}"/>
            </a:ext>
          </a:extLst>
        </xdr:cNvPr>
        <xdr:cNvSpPr txBox="1"/>
      </xdr:nvSpPr>
      <xdr:spPr>
        <a:xfrm>
          <a:off x="9295141" y="1430797"/>
          <a:ext cx="1221719" cy="395484"/>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83AF7-774C-45B4-9813-A75A8B39899D}" type="TxLink">
            <a:rPr lang="en-US" sz="1200" b="1" i="0" u="none" strike="noStrike">
              <a:solidFill>
                <a:srgbClr val="000000"/>
              </a:solidFill>
              <a:latin typeface="Aptos Narrow"/>
              <a:ea typeface="+mn-ea"/>
              <a:cs typeface="+mn-cs"/>
            </a:rPr>
            <a:t>415</a:t>
          </a:fld>
          <a:endParaRPr lang="en-IN" sz="2800" b="1">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52</xdr:row>
      <xdr:rowOff>0</xdr:rowOff>
    </xdr:from>
    <xdr:to>
      <xdr:col>5</xdr:col>
      <xdr:colOff>76200</xdr:colOff>
      <xdr:row>66</xdr:row>
      <xdr:rowOff>20955</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0B199ADC-5EBC-4621-952F-BD1A43769A8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505200" y="9509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480060</xdr:colOff>
      <xdr:row>54</xdr:row>
      <xdr:rowOff>114300</xdr:rowOff>
    </xdr:from>
    <xdr:to>
      <xdr:col>5</xdr:col>
      <xdr:colOff>556260</xdr:colOff>
      <xdr:row>68</xdr:row>
      <xdr:rowOff>135255</xdr:rowOff>
    </xdr:to>
    <mc:AlternateContent xmlns:mc="http://schemas.openxmlformats.org/markup-compatibility/2006">
      <mc:Choice xmlns:a14="http://schemas.microsoft.com/office/drawing/2010/main" Requires="a14">
        <xdr:graphicFrame macro="">
          <xdr:nvGraphicFramePr>
            <xdr:cNvPr id="43" name="Category">
              <a:extLst>
                <a:ext uri="{FF2B5EF4-FFF2-40B4-BE49-F238E27FC236}">
                  <a16:creationId xmlns:a16="http://schemas.microsoft.com/office/drawing/2014/main" id="{11F8C363-D6CC-43CD-BCD6-0449B4759B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85260" y="9989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106680</xdr:colOff>
      <xdr:row>57</xdr:row>
      <xdr:rowOff>45720</xdr:rowOff>
    </xdr:from>
    <xdr:to>
      <xdr:col>5</xdr:col>
      <xdr:colOff>1036320</xdr:colOff>
      <xdr:row>71</xdr:row>
      <xdr:rowOff>66675</xdr:rowOff>
    </xdr:to>
    <mc:AlternateContent xmlns:mc="http://schemas.openxmlformats.org/markup-compatibility/2006">
      <mc:Choice xmlns:a14="http://schemas.microsoft.com/office/drawing/2010/main" Requires="a14">
        <xdr:graphicFrame macro="">
          <xdr:nvGraphicFramePr>
            <xdr:cNvPr id="44" name="Payment Method">
              <a:extLst>
                <a:ext uri="{FF2B5EF4-FFF2-40B4-BE49-F238E27FC236}">
                  <a16:creationId xmlns:a16="http://schemas.microsoft.com/office/drawing/2014/main" id="{EAEC9E68-6919-46BB-B252-5FA93C95C48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4465320" y="10469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586740</xdr:colOff>
      <xdr:row>59</xdr:row>
      <xdr:rowOff>160020</xdr:rowOff>
    </xdr:from>
    <xdr:to>
      <xdr:col>6</xdr:col>
      <xdr:colOff>68580</xdr:colOff>
      <xdr:row>73</xdr:row>
      <xdr:rowOff>180975</xdr:rowOff>
    </xdr:to>
    <mc:AlternateContent xmlns:mc="http://schemas.openxmlformats.org/markup-compatibility/2006">
      <mc:Choice xmlns:a14="http://schemas.microsoft.com/office/drawing/2010/main" Requires="a14">
        <xdr:graphicFrame macro="">
          <xdr:nvGraphicFramePr>
            <xdr:cNvPr id="45" name="Approved">
              <a:extLst>
                <a:ext uri="{FF2B5EF4-FFF2-40B4-BE49-F238E27FC236}">
                  <a16:creationId xmlns:a16="http://schemas.microsoft.com/office/drawing/2014/main" id="{49E52DF4-060D-4074-9711-74E6296C411C}"/>
                </a:ext>
              </a:extLst>
            </xdr:cNvPr>
            <xdr:cNvGraphicFramePr/>
          </xdr:nvGraphicFramePr>
          <xdr:xfrm>
            <a:off x="0" y="0"/>
            <a:ext cx="0" cy="0"/>
          </xdr:xfrm>
          <a:graphic>
            <a:graphicData uri="http://schemas.microsoft.com/office/drawing/2010/slicer">
              <sle:slicer xmlns:sle="http://schemas.microsoft.com/office/drawing/2010/slicer" name="Approved"/>
            </a:graphicData>
          </a:graphic>
        </xdr:graphicFrame>
      </mc:Choice>
      <mc:Fallback>
        <xdr:sp macro="" textlink="">
          <xdr:nvSpPr>
            <xdr:cNvPr id="0" name=""/>
            <xdr:cNvSpPr>
              <a:spLocks noTextEdit="1"/>
            </xdr:cNvSpPr>
          </xdr:nvSpPr>
          <xdr:spPr>
            <a:xfrm>
              <a:off x="4945380" y="10949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281940</xdr:colOff>
      <xdr:row>1</xdr:row>
      <xdr:rowOff>1</xdr:rowOff>
    </xdr:from>
    <xdr:to>
      <xdr:col>4</xdr:col>
      <xdr:colOff>0</xdr:colOff>
      <xdr:row>8</xdr:row>
      <xdr:rowOff>1</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024AD870-5F55-479E-8022-B4591827C74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81940" y="182881"/>
              <a:ext cx="215646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259080</xdr:colOff>
      <xdr:row>10</xdr:row>
      <xdr:rowOff>0</xdr:rowOff>
    </xdr:from>
    <xdr:to>
      <xdr:col>9</xdr:col>
      <xdr:colOff>68580</xdr:colOff>
      <xdr:row>25</xdr:row>
      <xdr:rowOff>0</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8889D5F8-FA68-47CC-B346-5BAF20583F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916680" y="1828800"/>
              <a:ext cx="16383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533400</xdr:colOff>
      <xdr:row>1</xdr:row>
      <xdr:rowOff>1</xdr:rowOff>
    </xdr:from>
    <xdr:to>
      <xdr:col>11</xdr:col>
      <xdr:colOff>0</xdr:colOff>
      <xdr:row>7</xdr:row>
      <xdr:rowOff>1</xdr:rowOff>
    </xdr:to>
    <mc:AlternateContent xmlns:mc="http://schemas.openxmlformats.org/markup-compatibility/2006">
      <mc:Choice xmlns:a14="http://schemas.microsoft.com/office/drawing/2010/main" Requires="a14">
        <xdr:graphicFrame macro="">
          <xdr:nvGraphicFramePr>
            <xdr:cNvPr id="20" name="Payment Method 1">
              <a:extLst>
                <a:ext uri="{FF2B5EF4-FFF2-40B4-BE49-F238E27FC236}">
                  <a16:creationId xmlns:a16="http://schemas.microsoft.com/office/drawing/2014/main" id="{5B38307A-A08E-4EF8-92AF-7A1240E3981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4191000" y="182881"/>
              <a:ext cx="25146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1</xdr:row>
      <xdr:rowOff>0</xdr:rowOff>
    </xdr:from>
    <xdr:to>
      <xdr:col>14</xdr:col>
      <xdr:colOff>0</xdr:colOff>
      <xdr:row>5</xdr:row>
      <xdr:rowOff>0</xdr:rowOff>
    </xdr:to>
    <mc:AlternateContent xmlns:mc="http://schemas.openxmlformats.org/markup-compatibility/2006">
      <mc:Choice xmlns:a14="http://schemas.microsoft.com/office/drawing/2010/main" Requires="a14">
        <xdr:graphicFrame macro="">
          <xdr:nvGraphicFramePr>
            <xdr:cNvPr id="21" name="Approved 1">
              <a:extLst>
                <a:ext uri="{FF2B5EF4-FFF2-40B4-BE49-F238E27FC236}">
                  <a16:creationId xmlns:a16="http://schemas.microsoft.com/office/drawing/2014/main" id="{9F381281-AF15-4E03-9C1A-10834CDEC50C}"/>
                </a:ext>
              </a:extLst>
            </xdr:cNvPr>
            <xdr:cNvGraphicFramePr/>
          </xdr:nvGraphicFramePr>
          <xdr:xfrm>
            <a:off x="0" y="0"/>
            <a:ext cx="0" cy="0"/>
          </xdr:xfrm>
          <a:graphic>
            <a:graphicData uri="http://schemas.microsoft.com/office/drawing/2010/slicer">
              <sle:slicer xmlns:sle="http://schemas.microsoft.com/office/drawing/2010/slicer" name="Approved 1"/>
            </a:graphicData>
          </a:graphic>
        </xdr:graphicFrame>
      </mc:Choice>
      <mc:Fallback>
        <xdr:sp macro="" textlink="">
          <xdr:nvSpPr>
            <xdr:cNvPr id="0" name=""/>
            <xdr:cNvSpPr>
              <a:spLocks noTextEdit="1"/>
            </xdr:cNvSpPr>
          </xdr:nvSpPr>
          <xdr:spPr>
            <a:xfrm>
              <a:off x="6896100" y="182880"/>
              <a:ext cx="163830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266700</xdr:colOff>
      <xdr:row>3</xdr:row>
      <xdr:rowOff>91440</xdr:rowOff>
    </xdr:from>
    <xdr:to>
      <xdr:col>7</xdr:col>
      <xdr:colOff>571500</xdr:colOff>
      <xdr:row>18</xdr:row>
      <xdr:rowOff>91440</xdr:rowOff>
    </xdr:to>
    <xdr:graphicFrame macro="">
      <xdr:nvGraphicFramePr>
        <xdr:cNvPr id="2" name="Chart 1">
          <a:extLst>
            <a:ext uri="{FF2B5EF4-FFF2-40B4-BE49-F238E27FC236}">
              <a16:creationId xmlns:a16="http://schemas.microsoft.com/office/drawing/2014/main" id="{99F607FE-038A-4B24-91EE-CB7D2E59F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0</xdr:rowOff>
    </xdr:from>
    <xdr:to>
      <xdr:col>16</xdr:col>
      <xdr:colOff>304800</xdr:colOff>
      <xdr:row>19</xdr:row>
      <xdr:rowOff>0</xdr:rowOff>
    </xdr:to>
    <xdr:graphicFrame macro="">
      <xdr:nvGraphicFramePr>
        <xdr:cNvPr id="3" name="Chart 2">
          <a:extLst>
            <a:ext uri="{FF2B5EF4-FFF2-40B4-BE49-F238E27FC236}">
              <a16:creationId xmlns:a16="http://schemas.microsoft.com/office/drawing/2014/main" id="{7DAAFF0A-F9CA-4C78-9529-620D5BDCE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4</xdr:row>
      <xdr:rowOff>0</xdr:rowOff>
    </xdr:from>
    <xdr:to>
      <xdr:col>25</xdr:col>
      <xdr:colOff>304800</xdr:colOff>
      <xdr:row>19</xdr:row>
      <xdr:rowOff>0</xdr:rowOff>
    </xdr:to>
    <xdr:graphicFrame macro="">
      <xdr:nvGraphicFramePr>
        <xdr:cNvPr id="4" name="Chart 3">
          <a:extLst>
            <a:ext uri="{FF2B5EF4-FFF2-40B4-BE49-F238E27FC236}">
              <a16:creationId xmlns:a16="http://schemas.microsoft.com/office/drawing/2014/main" id="{BA11F5C1-CD42-4234-AB3F-D6BD6865F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0</xdr:rowOff>
    </xdr:from>
    <xdr:to>
      <xdr:col>25</xdr:col>
      <xdr:colOff>0</xdr:colOff>
      <xdr:row>35</xdr:row>
      <xdr:rowOff>0</xdr:rowOff>
    </xdr:to>
    <xdr:graphicFrame macro="">
      <xdr:nvGraphicFramePr>
        <xdr:cNvPr id="5" name="Chart 4">
          <a:extLst>
            <a:ext uri="{FF2B5EF4-FFF2-40B4-BE49-F238E27FC236}">
              <a16:creationId xmlns:a16="http://schemas.microsoft.com/office/drawing/2014/main" id="{BF1BC391-765F-4EB7-B988-75D13819D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0</xdr:colOff>
      <xdr:row>18</xdr:row>
      <xdr:rowOff>0</xdr:rowOff>
    </xdr:to>
    <xdr:graphicFrame macro="">
      <xdr:nvGraphicFramePr>
        <xdr:cNvPr id="2" name="Chart 1">
          <a:extLst>
            <a:ext uri="{FF2B5EF4-FFF2-40B4-BE49-F238E27FC236}">
              <a16:creationId xmlns:a16="http://schemas.microsoft.com/office/drawing/2014/main" id="{BBAC350B-A83C-4417-9A26-125EFC11E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304800</xdr:colOff>
      <xdr:row>18</xdr:row>
      <xdr:rowOff>0</xdr:rowOff>
    </xdr:to>
    <xdr:graphicFrame macro="">
      <xdr:nvGraphicFramePr>
        <xdr:cNvPr id="3" name="Chart 2">
          <a:extLst>
            <a:ext uri="{FF2B5EF4-FFF2-40B4-BE49-F238E27FC236}">
              <a16:creationId xmlns:a16="http://schemas.microsoft.com/office/drawing/2014/main" id="{C83CA84B-EB07-4FC2-AD15-A5DDF2FB7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15</xdr:col>
      <xdr:colOff>0</xdr:colOff>
      <xdr:row>35</xdr:row>
      <xdr:rowOff>0</xdr:rowOff>
    </xdr:to>
    <xdr:graphicFrame macro="">
      <xdr:nvGraphicFramePr>
        <xdr:cNvPr id="4" name="Chart 3">
          <a:extLst>
            <a:ext uri="{FF2B5EF4-FFF2-40B4-BE49-F238E27FC236}">
              <a16:creationId xmlns:a16="http://schemas.microsoft.com/office/drawing/2014/main" id="{74CECD3E-63F6-47FF-930A-9809B41CF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18</xdr:row>
      <xdr:rowOff>0</xdr:rowOff>
    </xdr:to>
    <xdr:graphicFrame macro="">
      <xdr:nvGraphicFramePr>
        <xdr:cNvPr id="2" name="Chart 1">
          <a:extLst>
            <a:ext uri="{FF2B5EF4-FFF2-40B4-BE49-F238E27FC236}">
              <a16:creationId xmlns:a16="http://schemas.microsoft.com/office/drawing/2014/main" id="{CE1D78E4-640B-41D8-BDC9-152E1152D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17</xdr:col>
      <xdr:colOff>304800</xdr:colOff>
      <xdr:row>18</xdr:row>
      <xdr:rowOff>0</xdr:rowOff>
    </xdr:to>
    <xdr:graphicFrame macro="">
      <xdr:nvGraphicFramePr>
        <xdr:cNvPr id="3" name="Chart 2">
          <a:extLst>
            <a:ext uri="{FF2B5EF4-FFF2-40B4-BE49-F238E27FC236}">
              <a16:creationId xmlns:a16="http://schemas.microsoft.com/office/drawing/2014/main" id="{409049BA-5C83-4C9F-AF8C-8D48D7410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0</xdr:rowOff>
    </xdr:from>
    <xdr:to>
      <xdr:col>8</xdr:col>
      <xdr:colOff>304800</xdr:colOff>
      <xdr:row>36</xdr:row>
      <xdr:rowOff>0</xdr:rowOff>
    </xdr:to>
    <xdr:graphicFrame macro="">
      <xdr:nvGraphicFramePr>
        <xdr:cNvPr id="4" name="Chart 3">
          <a:extLst>
            <a:ext uri="{FF2B5EF4-FFF2-40B4-BE49-F238E27FC236}">
              <a16:creationId xmlns:a16="http://schemas.microsoft.com/office/drawing/2014/main" id="{2F4F9691-EEE9-4400-9315-716942613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21</xdr:row>
      <xdr:rowOff>0</xdr:rowOff>
    </xdr:from>
    <xdr:to>
      <xdr:col>17</xdr:col>
      <xdr:colOff>304800</xdr:colOff>
      <xdr:row>36</xdr:row>
      <xdr:rowOff>0</xdr:rowOff>
    </xdr:to>
    <xdr:graphicFrame macro="">
      <xdr:nvGraphicFramePr>
        <xdr:cNvPr id="5" name="Chart 4">
          <a:extLst>
            <a:ext uri="{FF2B5EF4-FFF2-40B4-BE49-F238E27FC236}">
              <a16:creationId xmlns:a16="http://schemas.microsoft.com/office/drawing/2014/main" id="{F48E4E27-4122-423E-9141-A344FD5FC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14</xdr:row>
      <xdr:rowOff>0</xdr:rowOff>
    </xdr:from>
    <xdr:to>
      <xdr:col>25</xdr:col>
      <xdr:colOff>304800</xdr:colOff>
      <xdr:row>29</xdr:row>
      <xdr:rowOff>0</xdr:rowOff>
    </xdr:to>
    <xdr:graphicFrame macro="">
      <xdr:nvGraphicFramePr>
        <xdr:cNvPr id="6" name="Chart 5">
          <a:extLst>
            <a:ext uri="{FF2B5EF4-FFF2-40B4-BE49-F238E27FC236}">
              <a16:creationId xmlns:a16="http://schemas.microsoft.com/office/drawing/2014/main" id="{1DC5E4F3-BFB7-40FE-84A2-AA7413F22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anush waran" refreshedDate="46213.613807407404" createdVersion="8" refreshedVersion="8" minRefreshableVersion="3" recordCount="415" xr:uid="{3DCA15DF-F31B-466A-9843-F2C52F3819BE}">
  <cacheSource type="worksheet">
    <worksheetSource name="Table1"/>
  </cacheSource>
  <cacheFields count="12">
    <cacheField name="Expense ID" numFmtId="0">
      <sharedItems count="415">
        <s v="EXP-5001"/>
        <s v="EXP-5002"/>
        <s v="EXP-5003"/>
        <s v="EXP-5004"/>
        <s v="EXP-5005"/>
        <s v="EXP-5006"/>
        <s v="EXP-5007"/>
        <s v="EXP-5008"/>
        <s v="EXP-5009"/>
        <s v="EXP-5010"/>
        <s v="EXP-5011"/>
        <s v="EXP-5012"/>
        <s v="EXP-5013"/>
        <s v="EXP-5014"/>
        <s v="EXP-5015"/>
        <s v="EXP-5016"/>
        <s v="EXP-5017"/>
        <s v="EXP-5018"/>
        <s v="EXP-5019"/>
        <s v="EXP-5020"/>
        <s v="EXP-5021"/>
        <s v="EXP-5022"/>
        <s v="EXP-5023"/>
        <s v="EXP-5024"/>
        <s v="EXP-5025"/>
        <s v="EXP-5026"/>
        <s v="EXP-5027"/>
        <s v="EXP-5028"/>
        <s v="EXP-5029"/>
        <s v="EXP-5030"/>
        <s v="EXP-5031"/>
        <s v="EXP-5032"/>
        <s v="EXP-5033"/>
        <s v="EXP-5034"/>
        <s v="EXP-5035"/>
        <s v="EXP-5036"/>
        <s v="EXP-5037"/>
        <s v="EXP-5038"/>
        <s v="EXP-5039"/>
        <s v="EXP-5040"/>
        <s v="EXP-5041"/>
        <s v="EXP-5042"/>
        <s v="EXP-5043"/>
        <s v="EXP-5044"/>
        <s v="EXP-5045"/>
        <s v="EXP-5046"/>
        <s v="EXP-5047"/>
        <s v="EXP-5048"/>
        <s v="EXP-5049"/>
        <s v="EXP-5050"/>
        <s v="EXP-5051"/>
        <s v="EXP-5052"/>
        <s v="EXP-5053"/>
        <s v="EXP-5054"/>
        <s v="EXP-5055"/>
        <s v="EXP-5056"/>
        <s v="EXP-5057"/>
        <s v="EXP-5058"/>
        <s v="EXP-5059"/>
        <s v="EXP-5060"/>
        <s v="EXP-5061"/>
        <s v="EXP-5062"/>
        <s v="EXP-5063"/>
        <s v="EXP-5064"/>
        <s v="EXP-5065"/>
        <s v="EXP-5066"/>
        <s v="EXP-5067"/>
        <s v="EXP-5068"/>
        <s v="EXP-5069"/>
        <s v="EXP-5070"/>
        <s v="EXP-5071"/>
        <s v="EXP-5072"/>
        <s v="EXP-5073"/>
        <s v="EXP-5074"/>
        <s v="EXP-5075"/>
        <s v="EXP-5076"/>
        <s v="EXP-5077"/>
        <s v="EXP-5078"/>
        <s v="EXP-5079"/>
        <s v="EXP-5080"/>
        <s v="EXP-5081"/>
        <s v="EXP-5082"/>
        <s v="EXP-5083"/>
        <s v="EXP-5084"/>
        <s v="EXP-5085"/>
        <s v="EXP-5086"/>
        <s v="EXP-5087"/>
        <s v="EXP-5088"/>
        <s v="EXP-5089"/>
        <s v="EXP-5090"/>
        <s v="EXP-5091"/>
        <s v="EXP-5092"/>
        <s v="EXP-5093"/>
        <s v="EXP-5094"/>
        <s v="EXP-5095"/>
        <s v="EXP-5096"/>
        <s v="EXP-5097"/>
        <s v="EXP-5098"/>
        <s v="EXP-5099"/>
        <s v="EXP-5100"/>
        <s v="EXP-5101"/>
        <s v="EXP-5102"/>
        <s v="EXP-5103"/>
        <s v="EXP-5104"/>
        <s v="EXP-5105"/>
        <s v="EXP-5106"/>
        <s v="EXP-5107"/>
        <s v="EXP-5108"/>
        <s v="EXP-5109"/>
        <s v="EXP-5110"/>
        <s v="EXP-5111"/>
        <s v="EXP-5112"/>
        <s v="EXP-5113"/>
        <s v="EXP-5114"/>
        <s v="EXP-5115"/>
        <s v="EXP-5116"/>
        <s v="EXP-5117"/>
        <s v="EXP-5118"/>
        <s v="EXP-5119"/>
        <s v="EXP-5120"/>
        <s v="EXP-5121"/>
        <s v="EXP-5122"/>
        <s v="EXP-5123"/>
        <s v="EXP-5124"/>
        <s v="EXP-5125"/>
        <s v="EXP-5126"/>
        <s v="EXP-5127"/>
        <s v="EXP-5128"/>
        <s v="EXP-5129"/>
        <s v="EXP-5130"/>
        <s v="EXP-5131"/>
        <s v="EXP-5132"/>
        <s v="EXP-5133"/>
        <s v="EXP-5134"/>
        <s v="EXP-5135"/>
        <s v="EXP-5136"/>
        <s v="EXP-5137"/>
        <s v="EXP-5138"/>
        <s v="EXP-5139"/>
        <s v="EXP-5140"/>
        <s v="EXP-5141"/>
        <s v="EXP-5142"/>
        <s v="EXP-5143"/>
        <s v="EXP-5144"/>
        <s v="EXP-5145"/>
        <s v="EXP-5146"/>
        <s v="EXP-5147"/>
        <s v="EXP-5148"/>
        <s v="EXP-5149"/>
        <s v="EXP-5150"/>
        <s v="EXP-5151"/>
        <s v="EXP-5152"/>
        <s v="EXP-5153"/>
        <s v="EXP-5154"/>
        <s v="EXP-5155"/>
        <s v="EXP-5156"/>
        <s v="EXP-5157"/>
        <s v="EXP-5158"/>
        <s v="EXP-5159"/>
        <s v="EXP-5160"/>
        <s v="EXP-5161"/>
        <s v="EXP-5162"/>
        <s v="EXP-5163"/>
        <s v="EXP-5164"/>
        <s v="EXP-5165"/>
        <s v="EXP-5166"/>
        <s v="EXP-5167"/>
        <s v="EXP-5168"/>
        <s v="EXP-5169"/>
        <s v="EXP-5170"/>
        <s v="EXP-5171"/>
        <s v="EXP-5172"/>
        <s v="EXP-5173"/>
        <s v="EXP-5174"/>
        <s v="EXP-5175"/>
        <s v="EXP-5176"/>
        <s v="EXP-5177"/>
        <s v="EXP-5178"/>
        <s v="EXP-5179"/>
        <s v="EXP-5180"/>
        <s v="EXP-5181"/>
        <s v="EXP-5182"/>
        <s v="EXP-5183"/>
        <s v="EXP-5184"/>
        <s v="EXP-5185"/>
        <s v="EXP-5186"/>
        <s v="EXP-5187"/>
        <s v="EXP-5188"/>
        <s v="EXP-5189"/>
        <s v="EXP-5190"/>
        <s v="EXP-5191"/>
        <s v="EXP-5192"/>
        <s v="EXP-5193"/>
        <s v="EXP-5194"/>
        <s v="EXP-5195"/>
        <s v="EXP-5196"/>
        <s v="EXP-5197"/>
        <s v="EXP-5198"/>
        <s v="EXP-5199"/>
        <s v="EXP-5200"/>
        <s v="EXP-5201"/>
        <s v="EXP-5202"/>
        <s v="EXP-5203"/>
        <s v="EXP-5204"/>
        <s v="EXP-5205"/>
        <s v="EXP-5206"/>
        <s v="EXP-5207"/>
        <s v="EXP-5208"/>
        <s v="EXP-5209"/>
        <s v="EXP-5210"/>
        <s v="EXP-5211"/>
        <s v="EXP-5212"/>
        <s v="EXP-5213"/>
        <s v="EXP-5214"/>
        <s v="EXP-5215"/>
        <s v="EXP-5216"/>
        <s v="EXP-5217"/>
        <s v="EXP-5218"/>
        <s v="EXP-5219"/>
        <s v="EXP-5220"/>
        <s v="EXP-5221"/>
        <s v="EXP-5222"/>
        <s v="EXP-5223"/>
        <s v="EXP-5224"/>
        <s v="EXP-5225"/>
        <s v="EXP-5226"/>
        <s v="EXP-5227"/>
        <s v="EXP-5228"/>
        <s v="EXP-5229"/>
        <s v="EXP-5230"/>
        <s v="EXP-5231"/>
        <s v="EXP-5232"/>
        <s v="EXP-5233"/>
        <s v="EXP-5234"/>
        <s v="EXP-5235"/>
        <s v="EXP-5236"/>
        <s v="EXP-5237"/>
        <s v="EXP-5238"/>
        <s v="EXP-5239"/>
        <s v="EXP-5240"/>
        <s v="EXP-5241"/>
        <s v="EXP-5242"/>
        <s v="EXP-5243"/>
        <s v="EXP-5244"/>
        <s v="EXP-5245"/>
        <s v="EXP-5246"/>
        <s v="EXP-5247"/>
        <s v="EXP-5248"/>
        <s v="EXP-5249"/>
        <s v="EXP-5250"/>
        <s v="EXP-5251"/>
        <s v="EXP-5252"/>
        <s v="EXP-5253"/>
        <s v="EXP-5254"/>
        <s v="EXP-5255"/>
        <s v="EXP-5256"/>
        <s v="EXP-5257"/>
        <s v="EXP-5258"/>
        <s v="EXP-5259"/>
        <s v="EXP-5260"/>
        <s v="EXP-5261"/>
        <s v="EXP-5262"/>
        <s v="EXP-5263"/>
        <s v="EXP-5264"/>
        <s v="EXP-5265"/>
        <s v="EXP-5266"/>
        <s v="EXP-5267"/>
        <s v="EXP-5268"/>
        <s v="EXP-5269"/>
        <s v="EXP-5270"/>
        <s v="EXP-5271"/>
        <s v="EXP-5272"/>
        <s v="EXP-5273"/>
        <s v="EXP-5274"/>
        <s v="EXP-5275"/>
        <s v="EXP-5276"/>
        <s v="EXP-5277"/>
        <s v="EXP-5278"/>
        <s v="EXP-5279"/>
        <s v="EXP-5280"/>
        <s v="EXP-5281"/>
        <s v="EXP-5282"/>
        <s v="EXP-5283"/>
        <s v="EXP-5284"/>
        <s v="EXP-5285"/>
        <s v="EXP-5286"/>
        <s v="EXP-5287"/>
        <s v="EXP-5288"/>
        <s v="EXP-5289"/>
        <s v="EXP-5290"/>
        <s v="EXP-5291"/>
        <s v="EXP-5292"/>
        <s v="EXP-5293"/>
        <s v="EXP-5294"/>
        <s v="EXP-5295"/>
        <s v="EXP-5296"/>
        <s v="EXP-5297"/>
        <s v="EXP-5298"/>
        <s v="EXP-5299"/>
        <s v="EXP-5300"/>
        <s v="EXP-5301"/>
        <s v="EXP-5302"/>
        <s v="EXP-5303"/>
        <s v="EXP-5304"/>
        <s v="EXP-5305"/>
        <s v="EXP-5306"/>
        <s v="EXP-5307"/>
        <s v="EXP-5308"/>
        <s v="EXP-5309"/>
        <s v="EXP-5310"/>
        <s v="EXP-5311"/>
        <s v="EXP-5312"/>
        <s v="EXP-5313"/>
        <s v="EXP-5314"/>
        <s v="EXP-5315"/>
        <s v="EXP-5316"/>
        <s v="EXP-5317"/>
        <s v="EXP-5318"/>
        <s v="EXP-5319"/>
        <s v="EXP-5320"/>
        <s v="EXP-5321"/>
        <s v="EXP-5322"/>
        <s v="EXP-5323"/>
        <s v="EXP-5324"/>
        <s v="EXP-5325"/>
        <s v="EXP-5326"/>
        <s v="EXP-5327"/>
        <s v="EXP-5328"/>
        <s v="EXP-5329"/>
        <s v="EXP-5330"/>
        <s v="EXP-5331"/>
        <s v="EXP-5332"/>
        <s v="EXP-5333"/>
        <s v="EXP-5334"/>
        <s v="EXP-5335"/>
        <s v="EXP-5336"/>
        <s v="EXP-5337"/>
        <s v="EXP-5338"/>
        <s v="EXP-5339"/>
        <s v="EXP-5340"/>
        <s v="EXP-5341"/>
        <s v="EXP-5342"/>
        <s v="EXP-5343"/>
        <s v="EXP-5344"/>
        <s v="EXP-5345"/>
        <s v="EXP-5346"/>
        <s v="EXP-5347"/>
        <s v="EXP-5348"/>
        <s v="EXP-5349"/>
        <s v="EXP-5350"/>
        <s v="EXP-5351"/>
        <s v="EXP-5352"/>
        <s v="EXP-5353"/>
        <s v="EXP-5354"/>
        <s v="EXP-5355"/>
        <s v="EXP-5356"/>
        <s v="EXP-5357"/>
        <s v="EXP-5358"/>
        <s v="EXP-5359"/>
        <s v="EXP-5360"/>
        <s v="EXP-5361"/>
        <s v="EXP-5362"/>
        <s v="EXP-5363"/>
        <s v="EXP-5364"/>
        <s v="EXP-5365"/>
        <s v="EXP-5366"/>
        <s v="EXP-5367"/>
        <s v="EXP-5368"/>
        <s v="EXP-5369"/>
        <s v="EXP-5370"/>
        <s v="EXP-5371"/>
        <s v="EXP-5372"/>
        <s v="EXP-5373"/>
        <s v="EXP-5374"/>
        <s v="EXP-5375"/>
        <s v="EXP-5376"/>
        <s v="EXP-5377"/>
        <s v="EXP-5378"/>
        <s v="EXP-5379"/>
        <s v="EXP-5380"/>
        <s v="EXP-5381"/>
        <s v="EXP-5382"/>
        <s v="EXP-5383"/>
        <s v="EXP-5384"/>
        <s v="EXP-5385"/>
        <s v="EXP-5386"/>
        <s v="EXP-5387"/>
        <s v="EXP-5388"/>
        <s v="EXP-5389"/>
        <s v="EXP-5390"/>
        <s v="EXP-5391"/>
        <s v="EXP-5392"/>
        <s v="EXP-5393"/>
        <s v="EXP-5394"/>
        <s v="EXP-5395"/>
        <s v="EXP-5396"/>
        <s v="EXP-5397"/>
        <s v="EXP-5398"/>
        <s v="EXP-5399"/>
        <s v="EXP-5400"/>
        <s v="EXP-5401"/>
        <s v="EXP-5402"/>
        <s v="EXP-5403"/>
        <s v="EXP-5404"/>
        <s v="EXP-5405"/>
        <s v="EXP-5406"/>
        <s v="EXP-5407"/>
        <s v="EXP-5408"/>
        <s v="EXP-5409"/>
        <s v="EXP-5410"/>
        <s v="EXP-5411"/>
        <s v="EXP-5412"/>
        <s v="EXP-5413"/>
        <s v="EXP-5414"/>
        <s v="EXP-5415"/>
      </sharedItems>
    </cacheField>
    <cacheField name="Department" numFmtId="0">
      <sharedItems count="6">
        <s v="Engineering"/>
        <s v="Marketing"/>
        <s v="Sales"/>
        <s v="HR"/>
        <s v="Finance"/>
        <s v="Operations"/>
      </sharedItems>
    </cacheField>
    <cacheField name="Category" numFmtId="0">
      <sharedItems count="8">
        <s v="Software"/>
        <s v="Marketing"/>
        <s v="Office Supplies"/>
        <s v="Consulting"/>
        <s v="Equipment"/>
        <s v="Utilities"/>
        <s v="Travel"/>
        <s v="Training"/>
      </sharedItems>
    </cacheField>
    <cacheField name="Description" numFmtId="0">
      <sharedItems count="48">
        <s v="Software expense - Engineering"/>
        <s v="Marketing expense - Engineering"/>
        <s v="Office Supplies expense - Engineering"/>
        <s v="Consulting expense - Marketing"/>
        <s v="Equipment expense - Marketing"/>
        <s v="Software expense - Marketing"/>
        <s v="Equipment expense - Sales"/>
        <s v="Consulting expense - Sales"/>
        <s v="Utilities expense - Sales"/>
        <s v="Travel expense - Sales"/>
        <s v="Software expense - Sales"/>
        <s v="Marketing expense - HR"/>
        <s v="Equipment expense - HR"/>
        <s v="Utilities expense - HR"/>
        <s v="Travel expense - HR"/>
        <s v="Software expense - HR"/>
        <s v="Software expense - Finance"/>
        <s v="Utilities expense - Finance"/>
        <s v="Travel expense - Finance"/>
        <s v="Marketing expense - Finance"/>
        <s v="Equipment expense - Finance"/>
        <s v="Marketing expense - Operations"/>
        <s v="Office Supplies expense - Operations"/>
        <s v="Travel expense - Operations"/>
        <s v="Equipment expense - Operations"/>
        <s v="Training expense - Operations"/>
        <s v="Utilities expense - Engineering"/>
        <s v="Equipment expense - Engineering"/>
        <s v="Training expense - Engineering"/>
        <s v="Training expense - Marketing"/>
        <s v="Utilities expense - Marketing"/>
        <s v="Office Supplies expense - Sales"/>
        <s v="Training expense - Sales"/>
        <s v="Consulting expense - HR"/>
        <s v="Consulting expense - Finance"/>
        <s v="Office Supplies expense - Finance"/>
        <s v="Utilities expense - Operations"/>
        <s v="Office Supplies expense - Marketing"/>
        <s v="Marketing expense - Sales"/>
        <s v="Training expense - HR"/>
        <s v="Office Supplies expense - HR"/>
        <s v="Consulting expense - Operations"/>
        <s v="Software expense - Operations"/>
        <s v="Travel expense - Engineering"/>
        <s v="Consulting expense - Engineering"/>
        <s v="Travel expense - Marketing"/>
        <s v="Training expense - Finance"/>
        <s v="Marketing expense - Marketing"/>
      </sharedItems>
    </cacheField>
    <cacheField name="Amount (INR)" numFmtId="0">
      <sharedItems containsSemiMixedTypes="0" containsString="0" containsNumber="1" containsInteger="1" minValue="545" maxValue="195132"/>
    </cacheField>
    <cacheField name="Payment Method" numFmtId="0">
      <sharedItems count="4">
        <s v="Cash"/>
        <s v="Credit Card"/>
        <s v="Cheque"/>
        <s v="Bank Transfer"/>
      </sharedItems>
    </cacheField>
    <cacheField name="Approved" numFmtId="0">
      <sharedItems count="2">
        <s v="Yes"/>
        <s v="No"/>
      </sharedItems>
    </cacheField>
    <cacheField name="Budget Allocated" numFmtId="0">
      <sharedItems containsSemiMixedTypes="0" containsString="0" containsNumber="1" containsInteger="1" minValue="689" maxValue="253336"/>
    </cacheField>
    <cacheField name="Budget Remaining" numFmtId="0">
      <sharedItems containsSemiMixedTypes="0" containsString="0" containsNumber="1" containsInteger="1" minValue="0" maxValue="77496"/>
    </cacheField>
    <cacheField name="Vendor Name" numFmtId="0">
      <sharedItems count="10">
        <s v="PrintZone"/>
        <s v="AdPro Media"/>
        <s v="PowerGrid Co"/>
        <s v="CloudSoft"/>
        <s v="QuickTravel"/>
        <s v="SkillUp Academy"/>
        <s v="Strategy Consultants"/>
        <s v="TechMart India"/>
        <s v="HardwarePro"/>
        <s v="GlobalTravel"/>
      </sharedItems>
    </cacheField>
    <cacheField name="Invoice Number" numFmtId="0">
      <sharedItems count="414">
        <s v="INV-46989"/>
        <s v="INV-82311"/>
        <s v="INV-84029"/>
        <s v="INV-47015"/>
        <s v="INV-98432"/>
        <s v="INV-13104"/>
        <s v="INV-29862"/>
        <s v="INV-31108"/>
        <s v="INV-66479"/>
        <s v="INV-92285"/>
        <s v="INV-75393"/>
        <s v="INV-85564"/>
        <s v="INV-43557"/>
        <s v="INV-62551"/>
        <s v="INV-77171"/>
        <s v="INV-91345"/>
        <s v="INV-48097"/>
        <s v="INV-70591"/>
        <s v="INV-33628"/>
        <s v="INV-51587"/>
        <s v="INV-69582"/>
        <s v="INV-84475"/>
        <s v="INV-37973"/>
        <s v="INV-93320"/>
        <s v="INV-69168"/>
        <s v="INV-66168"/>
        <s v="INV-72324"/>
        <s v="INV-88266"/>
        <s v="INV-11859"/>
        <s v="INV-44446"/>
        <s v="INV-22772"/>
        <s v="INV-88766"/>
        <s v="INV-12122"/>
        <s v="INV-64270"/>
        <s v="INV-70138"/>
        <s v="INV-60012"/>
        <s v="INV-21484"/>
        <s v="INV-91766"/>
        <s v="INV-37770"/>
        <s v="INV-26310"/>
        <s v="INV-39351"/>
        <s v="INV-10544"/>
        <s v="INV-51611"/>
        <s v="INV-35252"/>
        <s v="INV-32769"/>
        <s v="INV-25515"/>
        <s v="INV-22223"/>
        <s v="INV-81260"/>
        <s v="INV-34452"/>
        <s v="INV-59559"/>
        <s v="INV-23555"/>
        <s v="INV-22160"/>
        <s v="INV-74361"/>
        <s v="INV-59185"/>
        <s v="INV-14122"/>
        <s v="INV-43357"/>
        <s v="INV-29968"/>
        <s v="INV-38804"/>
        <s v="INV-36114"/>
        <s v="INV-77194"/>
        <s v="INV-86499"/>
        <s v="INV-65540"/>
        <s v="INV-84336"/>
        <s v="INV-14424"/>
        <s v="INV-25027"/>
        <s v="INV-38204"/>
        <s v="INV-11428"/>
        <s v="INV-18681"/>
        <s v="INV-46444"/>
        <s v="INV-35971"/>
        <s v="INV-25631"/>
        <s v="INV-12787"/>
        <s v="INV-27178"/>
        <s v="INV-19103"/>
        <s v="INV-55327"/>
        <s v="INV-61554"/>
        <s v="INV-23466"/>
        <s v="INV-39667"/>
        <s v="INV-16880"/>
        <s v="INV-53165"/>
        <s v="INV-51855"/>
        <s v="INV-41525"/>
        <s v="INV-22032"/>
        <s v="INV-96439"/>
        <s v="INV-97883"/>
        <s v="INV-37349"/>
        <s v="INV-23849"/>
        <s v="INV-36610"/>
        <s v="INV-29305"/>
        <s v="INV-44964"/>
        <s v="INV-82129"/>
        <s v="INV-76574"/>
        <s v="INV-65389"/>
        <s v="INV-74699"/>
        <s v="INV-25097"/>
        <s v="INV-46105"/>
        <s v="INV-23278"/>
        <s v="INV-32417"/>
        <s v="INV-34258"/>
        <s v="INV-99318"/>
        <s v="INV-66088"/>
        <s v="INV-56156"/>
        <s v="INV-15921"/>
        <s v="INV-31928"/>
        <s v="INV-55977"/>
        <s v="INV-49470"/>
        <s v="INV-99887"/>
        <s v="INV-75251"/>
        <s v="INV-21701"/>
        <s v="INV-44774"/>
        <s v="INV-15387"/>
        <s v="INV-47802"/>
        <s v="INV-78575"/>
        <s v="INV-18469"/>
        <s v="INV-50084"/>
        <s v="INV-28051"/>
        <s v="INV-28696"/>
        <s v="INV-72020"/>
        <s v="INV-22863"/>
        <s v="INV-28242"/>
        <s v="INV-21219"/>
        <s v="INV-22588"/>
        <s v="INV-66055"/>
        <s v="INV-65170"/>
        <s v="INV-81207"/>
        <s v="INV-70661"/>
        <s v="INV-22766"/>
        <s v="INV-16949"/>
        <s v="INV-98562"/>
        <s v="INV-36306"/>
        <s v="INV-42401"/>
        <s v="INV-25966"/>
        <s v="INV-90315"/>
        <s v="INV-28571"/>
        <s v="INV-48015"/>
        <s v="INV-61273"/>
        <s v="INV-13666"/>
        <s v="INV-68258"/>
        <s v="INV-30750"/>
        <s v="INV-61199"/>
        <s v="INV-46482"/>
        <s v="INV-89408"/>
        <s v="INV-87182"/>
        <s v="INV-30863"/>
        <s v="INV-41013"/>
        <s v="INV-90203"/>
        <s v="INV-89499"/>
        <s v="INV-93544"/>
        <s v="INV-31245"/>
        <s v="INV-13177"/>
        <s v="INV-84487"/>
        <s v="INV-84759"/>
        <s v="INV-66034"/>
        <s v="INV-23226"/>
        <s v="INV-47997"/>
        <s v="INV-80047"/>
        <s v="INV-17424"/>
        <s v="INV-65234"/>
        <s v="INV-53202"/>
        <s v="INV-64557"/>
        <s v="INV-14666"/>
        <s v="INV-39852"/>
        <s v="INV-59727"/>
        <s v="INV-65945"/>
        <s v="INV-54974"/>
        <s v="INV-80283"/>
        <s v="INV-26608"/>
        <s v="INV-48327"/>
        <s v="INV-81256"/>
        <s v="INV-49677"/>
        <s v="INV-51793"/>
        <s v="INV-36680"/>
        <s v="INV-28607"/>
        <s v="INV-75392"/>
        <s v="INV-46581"/>
        <s v="INV-39418"/>
        <s v="INV-80981"/>
        <s v="INV-38382"/>
        <s v="INV-24314"/>
        <s v="INV-84488"/>
        <s v="INV-46791"/>
        <s v="INV-61721"/>
        <s v="INV-26293"/>
        <s v="INV-70650"/>
        <s v="INV-38553"/>
        <s v="INV-51160"/>
        <s v="INV-26675"/>
        <s v="INV-95799"/>
        <s v="INV-15499"/>
        <s v="INV-80836"/>
        <s v="INV-20151"/>
        <s v="INV-47104"/>
        <s v="INV-95456"/>
        <s v="INV-15847"/>
        <s v="INV-51039"/>
        <s v="INV-95093"/>
        <s v="INV-79174"/>
        <s v="INV-35562"/>
        <s v="INV-51263"/>
        <s v="INV-56135"/>
        <s v="INV-40115"/>
        <s v="INV-47602"/>
        <s v="INV-85499"/>
        <s v="INV-31859"/>
        <s v="INV-14466"/>
        <s v="INV-60870"/>
        <s v="INV-54146"/>
        <s v="INV-92684"/>
        <s v="INV-76764"/>
        <s v="INV-52000"/>
        <s v="INV-48974"/>
        <s v="INV-60340"/>
        <s v="INV-46471"/>
        <s v="INV-73784"/>
        <s v="INV-40366"/>
        <s v="INV-15209"/>
        <s v="INV-46941"/>
        <s v="INV-25720"/>
        <s v="INV-56362"/>
        <s v="INV-46190"/>
        <s v="INV-66803"/>
        <s v="INV-93164"/>
        <s v="INV-71618"/>
        <s v="INV-36027"/>
        <s v="INV-18816"/>
        <s v="INV-44481"/>
        <s v="INV-96106"/>
        <s v="INV-88360"/>
        <s v="INV-64997"/>
        <s v="INV-51799"/>
        <s v="INV-88781"/>
        <s v="INV-63609"/>
        <s v="INV-62255"/>
        <s v="INV-50437"/>
        <s v="INV-90052"/>
        <s v="INV-56229"/>
        <s v="INV-30577"/>
        <s v="INV-64184"/>
        <s v="INV-23437"/>
        <s v="INV-40147"/>
        <s v="INV-45389"/>
        <s v="INV-81001"/>
        <s v="INV-50919"/>
        <s v="INV-36563"/>
        <s v="INV-66299"/>
        <s v="INV-79888"/>
        <s v="INV-24195"/>
        <s v="INV-58473"/>
        <s v="INV-32184"/>
        <s v="INV-62847"/>
        <s v="INV-43033"/>
        <s v="INV-84096"/>
        <s v="INV-81511"/>
        <s v="INV-77427"/>
        <s v="INV-74904"/>
        <s v="INV-48895"/>
        <s v="INV-90622"/>
        <s v="INV-90478"/>
        <s v="INV-27739"/>
        <s v="INV-33491"/>
        <s v="INV-22300"/>
        <s v="INV-18751"/>
        <s v="INV-45989"/>
        <s v="INV-62857"/>
        <s v="INV-44463"/>
        <s v="INV-87616"/>
        <s v="INV-10350"/>
        <s v="INV-72320"/>
        <s v="INV-65758"/>
        <s v="INV-61543"/>
        <s v="INV-51546"/>
        <s v="INV-83464"/>
        <s v="INV-95471"/>
        <s v="INV-38020"/>
        <s v="INV-57315"/>
        <s v="INV-75902"/>
        <s v="INV-43166"/>
        <s v="INV-74264"/>
        <s v="INV-13779"/>
        <s v="INV-17346"/>
        <s v="INV-35451"/>
        <s v="INV-58005"/>
        <s v="INV-75735"/>
        <s v="INV-36041"/>
        <s v="INV-83473"/>
        <s v="INV-21555"/>
        <s v="INV-92132"/>
        <s v="INV-42339"/>
        <s v="INV-16990"/>
        <s v="INV-34673"/>
        <s v="INV-22112"/>
        <s v="INV-86706"/>
        <s v="INV-37190"/>
        <s v="INV-37619"/>
        <s v="INV-72286"/>
        <s v="INV-52253"/>
        <s v="INV-53871"/>
        <s v="INV-71189"/>
        <s v="INV-67012"/>
        <s v="INV-73249"/>
        <s v="INV-45305"/>
        <s v="INV-78692"/>
        <s v="INV-50537"/>
        <s v="INV-36267"/>
        <s v="INV-21818"/>
        <s v="INV-30883"/>
        <s v="INV-97613"/>
        <s v="INV-27501"/>
        <s v="INV-80007"/>
        <s v="INV-33351"/>
        <s v="INV-62190"/>
        <s v="INV-49575"/>
        <s v="INV-47350"/>
        <s v="INV-31435"/>
        <s v="INV-99923"/>
        <s v="INV-26874"/>
        <s v="INV-49708"/>
        <s v="INV-72068"/>
        <s v="INV-79692"/>
        <s v="INV-43795"/>
        <s v="INV-70917"/>
        <s v="INV-88555"/>
        <s v="INV-45027"/>
        <s v="INV-93359"/>
        <s v="INV-21016"/>
        <s v="INV-55270"/>
        <s v="INV-52806"/>
        <s v="INV-20323"/>
        <s v="INV-43666"/>
        <s v="INV-49741"/>
        <s v="INV-46016"/>
        <s v="INV-45740"/>
        <s v="INV-70613"/>
        <s v="INV-90135"/>
        <s v="INV-93200"/>
        <s v="INV-51896"/>
        <s v="INV-32283"/>
        <s v="INV-55259"/>
        <s v="INV-51331"/>
        <s v="INV-84041"/>
        <s v="INV-40765"/>
        <s v="INV-38613"/>
        <s v="INV-63545"/>
        <s v="INV-92611"/>
        <s v="INV-79796"/>
        <s v="INV-30574"/>
        <s v="INV-99568"/>
        <s v="INV-93416"/>
        <s v="INV-63578"/>
        <s v="INV-12977"/>
        <s v="INV-41367"/>
        <s v="INV-18495"/>
        <s v="INV-41704"/>
        <s v="INV-70583"/>
        <s v="INV-60504"/>
        <s v="INV-13109"/>
        <s v="INV-57628"/>
        <s v="INV-23582"/>
        <s v="INV-64118"/>
        <s v="INV-22730"/>
        <s v="INV-54884"/>
        <s v="INV-46083"/>
        <s v="INV-83864"/>
        <s v="INV-72296"/>
        <s v="INV-48316"/>
        <s v="INV-29446"/>
        <s v="INV-32335"/>
        <s v="INV-59542"/>
        <s v="INV-59790"/>
        <s v="INV-89775"/>
        <s v="INV-78697"/>
        <s v="INV-53190"/>
        <s v="INV-84278"/>
        <s v="INV-69777"/>
        <s v="INV-18345"/>
        <s v="INV-86188"/>
        <s v="INV-35745"/>
        <s v="INV-87250"/>
        <s v="INV-24617"/>
        <s v="INV-63368"/>
        <s v="INV-94578"/>
        <s v="INV-75937"/>
        <s v="INV-51839"/>
        <s v="INV-68090"/>
        <s v="INV-40382"/>
        <s v="INV-89891"/>
        <s v="INV-32515"/>
        <s v="INV-44452"/>
        <s v="INV-68944"/>
        <s v="INV-17249"/>
        <s v="INV-36504"/>
        <s v="INV-52688"/>
        <s v="INV-19755"/>
        <s v="INV-73837"/>
        <s v="INV-17355"/>
        <s v="INV-27600"/>
        <s v="INV-87307"/>
        <s v="INV-85069"/>
        <s v="INV-51151"/>
        <s v="INV-39842"/>
        <s v="INV-13032"/>
        <s v="INV-79258"/>
        <s v="INV-52869"/>
        <s v="INV-22077"/>
        <s v="INV-89958"/>
        <s v="INV-69151"/>
        <s v="INV-66675"/>
        <s v="INV-39521"/>
        <s v="INV-79778"/>
        <s v="INV-34752"/>
        <s v="INV-55681"/>
        <s v="INV-31402"/>
        <s v="INV-67624"/>
        <s v="INV-68564"/>
      </sharedItems>
    </cacheField>
    <cacheField name="Month" numFmtId="0">
      <sharedItems count="1">
        <s v="2026"/>
      </sharedItems>
    </cacheField>
  </cacheFields>
  <extLst>
    <ext xmlns:x14="http://schemas.microsoft.com/office/spreadsheetml/2009/9/main" uri="{725AE2AE-9491-48be-B2B4-4EB974FC3084}">
      <x14:pivotCacheDefinition pivotCacheId="1822208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anush waran" refreshedDate="46213.987424768522" createdVersion="8" refreshedVersion="8" minRefreshableVersion="3" recordCount="415" xr:uid="{BA5DD301-0053-4C40-9DFE-47E15EBF14B2}">
  <cacheSource type="worksheet">
    <worksheetSource name="Table1"/>
  </cacheSource>
  <cacheFields count="12">
    <cacheField name="Expense ID" numFmtId="0">
      <sharedItems/>
    </cacheField>
    <cacheField name="Department" numFmtId="0">
      <sharedItems count="6">
        <s v="Engineering"/>
        <s v="Marketing"/>
        <s v="Sales"/>
        <s v="HR"/>
        <s v="Finance"/>
        <s v="Operations"/>
      </sharedItems>
    </cacheField>
    <cacheField name="Category" numFmtId="0">
      <sharedItems/>
    </cacheField>
    <cacheField name="Description" numFmtId="0">
      <sharedItems/>
    </cacheField>
    <cacheField name="Amount (INR)" numFmtId="0">
      <sharedItems containsSemiMixedTypes="0" containsString="0" containsNumber="1" containsInteger="1" minValue="545" maxValue="195132"/>
    </cacheField>
    <cacheField name="Payment Method" numFmtId="0">
      <sharedItems/>
    </cacheField>
    <cacheField name="Approved" numFmtId="0">
      <sharedItems/>
    </cacheField>
    <cacheField name="Budget Allocated" numFmtId="0">
      <sharedItems containsSemiMixedTypes="0" containsString="0" containsNumber="1" containsInteger="1" minValue="689" maxValue="253336"/>
    </cacheField>
    <cacheField name="Budget Remaining" numFmtId="0">
      <sharedItems containsSemiMixedTypes="0" containsString="0" containsNumber="1" containsInteger="1" minValue="0" maxValue="77496"/>
    </cacheField>
    <cacheField name="Vendor Name" numFmtId="0">
      <sharedItems/>
    </cacheField>
    <cacheField name="Invoice Number" numFmtId="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anush waran" refreshedDate="46213.988162847221" createdVersion="8" refreshedVersion="8" minRefreshableVersion="3" recordCount="415" xr:uid="{FA321BBE-7CAC-4E56-8C5E-D4448760A859}">
  <cacheSource type="worksheet">
    <worksheetSource name="Table1"/>
  </cacheSource>
  <cacheFields count="12">
    <cacheField name="Expense ID" numFmtId="0">
      <sharedItems count="415">
        <s v="EXP-5001"/>
        <s v="EXP-5002"/>
        <s v="EXP-5003"/>
        <s v="EXP-5004"/>
        <s v="EXP-5005"/>
        <s v="EXP-5006"/>
        <s v="EXP-5007"/>
        <s v="EXP-5008"/>
        <s v="EXP-5009"/>
        <s v="EXP-5010"/>
        <s v="EXP-5011"/>
        <s v="EXP-5012"/>
        <s v="EXP-5013"/>
        <s v="EXP-5014"/>
        <s v="EXP-5015"/>
        <s v="EXP-5016"/>
        <s v="EXP-5017"/>
        <s v="EXP-5018"/>
        <s v="EXP-5019"/>
        <s v="EXP-5020"/>
        <s v="EXP-5021"/>
        <s v="EXP-5022"/>
        <s v="EXP-5023"/>
        <s v="EXP-5024"/>
        <s v="EXP-5025"/>
        <s v="EXP-5026"/>
        <s v="EXP-5027"/>
        <s v="EXP-5028"/>
        <s v="EXP-5029"/>
        <s v="EXP-5030"/>
        <s v="EXP-5031"/>
        <s v="EXP-5032"/>
        <s v="EXP-5033"/>
        <s v="EXP-5034"/>
        <s v="EXP-5035"/>
        <s v="EXP-5036"/>
        <s v="EXP-5037"/>
        <s v="EXP-5038"/>
        <s v="EXP-5039"/>
        <s v="EXP-5040"/>
        <s v="EXP-5041"/>
        <s v="EXP-5042"/>
        <s v="EXP-5043"/>
        <s v="EXP-5044"/>
        <s v="EXP-5045"/>
        <s v="EXP-5046"/>
        <s v="EXP-5047"/>
        <s v="EXP-5048"/>
        <s v="EXP-5049"/>
        <s v="EXP-5050"/>
        <s v="EXP-5051"/>
        <s v="EXP-5052"/>
        <s v="EXP-5053"/>
        <s v="EXP-5054"/>
        <s v="EXP-5055"/>
        <s v="EXP-5056"/>
        <s v="EXP-5057"/>
        <s v="EXP-5058"/>
        <s v="EXP-5059"/>
        <s v="EXP-5060"/>
        <s v="EXP-5061"/>
        <s v="EXP-5062"/>
        <s v="EXP-5063"/>
        <s v="EXP-5064"/>
        <s v="EXP-5065"/>
        <s v="EXP-5066"/>
        <s v="EXP-5067"/>
        <s v="EXP-5068"/>
        <s v="EXP-5069"/>
        <s v="EXP-5070"/>
        <s v="EXP-5071"/>
        <s v="EXP-5072"/>
        <s v="EXP-5073"/>
        <s v="EXP-5074"/>
        <s v="EXP-5075"/>
        <s v="EXP-5076"/>
        <s v="EXP-5077"/>
        <s v="EXP-5078"/>
        <s v="EXP-5079"/>
        <s v="EXP-5080"/>
        <s v="EXP-5081"/>
        <s v="EXP-5082"/>
        <s v="EXP-5083"/>
        <s v="EXP-5084"/>
        <s v="EXP-5085"/>
        <s v="EXP-5086"/>
        <s v="EXP-5087"/>
        <s v="EXP-5088"/>
        <s v="EXP-5089"/>
        <s v="EXP-5090"/>
        <s v="EXP-5091"/>
        <s v="EXP-5092"/>
        <s v="EXP-5093"/>
        <s v="EXP-5094"/>
        <s v="EXP-5095"/>
        <s v="EXP-5096"/>
        <s v="EXP-5097"/>
        <s v="EXP-5098"/>
        <s v="EXP-5099"/>
        <s v="EXP-5100"/>
        <s v="EXP-5101"/>
        <s v="EXP-5102"/>
        <s v="EXP-5103"/>
        <s v="EXP-5104"/>
        <s v="EXP-5105"/>
        <s v="EXP-5106"/>
        <s v="EXP-5107"/>
        <s v="EXP-5108"/>
        <s v="EXP-5109"/>
        <s v="EXP-5110"/>
        <s v="EXP-5111"/>
        <s v="EXP-5112"/>
        <s v="EXP-5113"/>
        <s v="EXP-5114"/>
        <s v="EXP-5115"/>
        <s v="EXP-5116"/>
        <s v="EXP-5117"/>
        <s v="EXP-5118"/>
        <s v="EXP-5119"/>
        <s v="EXP-5120"/>
        <s v="EXP-5121"/>
        <s v="EXP-5122"/>
        <s v="EXP-5123"/>
        <s v="EXP-5124"/>
        <s v="EXP-5125"/>
        <s v="EXP-5126"/>
        <s v="EXP-5127"/>
        <s v="EXP-5128"/>
        <s v="EXP-5129"/>
        <s v="EXP-5130"/>
        <s v="EXP-5131"/>
        <s v="EXP-5132"/>
        <s v="EXP-5133"/>
        <s v="EXP-5134"/>
        <s v="EXP-5135"/>
        <s v="EXP-5136"/>
        <s v="EXP-5137"/>
        <s v="EXP-5138"/>
        <s v="EXP-5139"/>
        <s v="EXP-5140"/>
        <s v="EXP-5141"/>
        <s v="EXP-5142"/>
        <s v="EXP-5143"/>
        <s v="EXP-5144"/>
        <s v="EXP-5145"/>
        <s v="EXP-5146"/>
        <s v="EXP-5147"/>
        <s v="EXP-5148"/>
        <s v="EXP-5149"/>
        <s v="EXP-5150"/>
        <s v="EXP-5151"/>
        <s v="EXP-5152"/>
        <s v="EXP-5153"/>
        <s v="EXP-5154"/>
        <s v="EXP-5155"/>
        <s v="EXP-5156"/>
        <s v="EXP-5157"/>
        <s v="EXP-5158"/>
        <s v="EXP-5159"/>
        <s v="EXP-5160"/>
        <s v="EXP-5161"/>
        <s v="EXP-5162"/>
        <s v="EXP-5163"/>
        <s v="EXP-5164"/>
        <s v="EXP-5165"/>
        <s v="EXP-5166"/>
        <s v="EXP-5167"/>
        <s v="EXP-5168"/>
        <s v="EXP-5169"/>
        <s v="EXP-5170"/>
        <s v="EXP-5171"/>
        <s v="EXP-5172"/>
        <s v="EXP-5173"/>
        <s v="EXP-5174"/>
        <s v="EXP-5175"/>
        <s v="EXP-5176"/>
        <s v="EXP-5177"/>
        <s v="EXP-5178"/>
        <s v="EXP-5179"/>
        <s v="EXP-5180"/>
        <s v="EXP-5181"/>
        <s v="EXP-5182"/>
        <s v="EXP-5183"/>
        <s v="EXP-5184"/>
        <s v="EXP-5185"/>
        <s v="EXP-5186"/>
        <s v="EXP-5187"/>
        <s v="EXP-5188"/>
        <s v="EXP-5189"/>
        <s v="EXP-5190"/>
        <s v="EXP-5191"/>
        <s v="EXP-5192"/>
        <s v="EXP-5193"/>
        <s v="EXP-5194"/>
        <s v="EXP-5195"/>
        <s v="EXP-5196"/>
        <s v="EXP-5197"/>
        <s v="EXP-5198"/>
        <s v="EXP-5199"/>
        <s v="EXP-5200"/>
        <s v="EXP-5201"/>
        <s v="EXP-5202"/>
        <s v="EXP-5203"/>
        <s v="EXP-5204"/>
        <s v="EXP-5205"/>
        <s v="EXP-5206"/>
        <s v="EXP-5207"/>
        <s v="EXP-5208"/>
        <s v="EXP-5209"/>
        <s v="EXP-5210"/>
        <s v="EXP-5211"/>
        <s v="EXP-5212"/>
        <s v="EXP-5213"/>
        <s v="EXP-5214"/>
        <s v="EXP-5215"/>
        <s v="EXP-5216"/>
        <s v="EXP-5217"/>
        <s v="EXP-5218"/>
        <s v="EXP-5219"/>
        <s v="EXP-5220"/>
        <s v="EXP-5221"/>
        <s v="EXP-5222"/>
        <s v="EXP-5223"/>
        <s v="EXP-5224"/>
        <s v="EXP-5225"/>
        <s v="EXP-5226"/>
        <s v="EXP-5227"/>
        <s v="EXP-5228"/>
        <s v="EXP-5229"/>
        <s v="EXP-5230"/>
        <s v="EXP-5231"/>
        <s v="EXP-5232"/>
        <s v="EXP-5233"/>
        <s v="EXP-5234"/>
        <s v="EXP-5235"/>
        <s v="EXP-5236"/>
        <s v="EXP-5237"/>
        <s v="EXP-5238"/>
        <s v="EXP-5239"/>
        <s v="EXP-5240"/>
        <s v="EXP-5241"/>
        <s v="EXP-5242"/>
        <s v="EXP-5243"/>
        <s v="EXP-5244"/>
        <s v="EXP-5245"/>
        <s v="EXP-5246"/>
        <s v="EXP-5247"/>
        <s v="EXP-5248"/>
        <s v="EXP-5249"/>
        <s v="EXP-5250"/>
        <s v="EXP-5251"/>
        <s v="EXP-5252"/>
        <s v="EXP-5253"/>
        <s v="EXP-5254"/>
        <s v="EXP-5255"/>
        <s v="EXP-5256"/>
        <s v="EXP-5257"/>
        <s v="EXP-5258"/>
        <s v="EXP-5259"/>
        <s v="EXP-5260"/>
        <s v="EXP-5261"/>
        <s v="EXP-5262"/>
        <s v="EXP-5263"/>
        <s v="EXP-5264"/>
        <s v="EXP-5265"/>
        <s v="EXP-5266"/>
        <s v="EXP-5267"/>
        <s v="EXP-5268"/>
        <s v="EXP-5269"/>
        <s v="EXP-5270"/>
        <s v="EXP-5271"/>
        <s v="EXP-5272"/>
        <s v="EXP-5273"/>
        <s v="EXP-5274"/>
        <s v="EXP-5275"/>
        <s v="EXP-5276"/>
        <s v="EXP-5277"/>
        <s v="EXP-5278"/>
        <s v="EXP-5279"/>
        <s v="EXP-5280"/>
        <s v="EXP-5281"/>
        <s v="EXP-5282"/>
        <s v="EXP-5283"/>
        <s v="EXP-5284"/>
        <s v="EXP-5285"/>
        <s v="EXP-5286"/>
        <s v="EXP-5287"/>
        <s v="EXP-5288"/>
        <s v="EXP-5289"/>
        <s v="EXP-5290"/>
        <s v="EXP-5291"/>
        <s v="EXP-5292"/>
        <s v="EXP-5293"/>
        <s v="EXP-5294"/>
        <s v="EXP-5295"/>
        <s v="EXP-5296"/>
        <s v="EXP-5297"/>
        <s v="EXP-5298"/>
        <s v="EXP-5299"/>
        <s v="EXP-5300"/>
        <s v="EXP-5301"/>
        <s v="EXP-5302"/>
        <s v="EXP-5303"/>
        <s v="EXP-5304"/>
        <s v="EXP-5305"/>
        <s v="EXP-5306"/>
        <s v="EXP-5307"/>
        <s v="EXP-5308"/>
        <s v="EXP-5309"/>
        <s v="EXP-5310"/>
        <s v="EXP-5311"/>
        <s v="EXP-5312"/>
        <s v="EXP-5313"/>
        <s v="EXP-5314"/>
        <s v="EXP-5315"/>
        <s v="EXP-5316"/>
        <s v="EXP-5317"/>
        <s v="EXP-5318"/>
        <s v="EXP-5319"/>
        <s v="EXP-5320"/>
        <s v="EXP-5321"/>
        <s v="EXP-5322"/>
        <s v="EXP-5323"/>
        <s v="EXP-5324"/>
        <s v="EXP-5325"/>
        <s v="EXP-5326"/>
        <s v="EXP-5327"/>
        <s v="EXP-5328"/>
        <s v="EXP-5329"/>
        <s v="EXP-5330"/>
        <s v="EXP-5331"/>
        <s v="EXP-5332"/>
        <s v="EXP-5333"/>
        <s v="EXP-5334"/>
        <s v="EXP-5335"/>
        <s v="EXP-5336"/>
        <s v="EXP-5337"/>
        <s v="EXP-5338"/>
        <s v="EXP-5339"/>
        <s v="EXP-5340"/>
        <s v="EXP-5341"/>
        <s v="EXP-5342"/>
        <s v="EXP-5343"/>
        <s v="EXP-5344"/>
        <s v="EXP-5345"/>
        <s v="EXP-5346"/>
        <s v="EXP-5347"/>
        <s v="EXP-5348"/>
        <s v="EXP-5349"/>
        <s v="EXP-5350"/>
        <s v="EXP-5351"/>
        <s v="EXP-5352"/>
        <s v="EXP-5353"/>
        <s v="EXP-5354"/>
        <s v="EXP-5355"/>
        <s v="EXP-5356"/>
        <s v="EXP-5357"/>
        <s v="EXP-5358"/>
        <s v="EXP-5359"/>
        <s v="EXP-5360"/>
        <s v="EXP-5361"/>
        <s v="EXP-5362"/>
        <s v="EXP-5363"/>
        <s v="EXP-5364"/>
        <s v="EXP-5365"/>
        <s v="EXP-5366"/>
        <s v="EXP-5367"/>
        <s v="EXP-5368"/>
        <s v="EXP-5369"/>
        <s v="EXP-5370"/>
        <s v="EXP-5371"/>
        <s v="EXP-5372"/>
        <s v="EXP-5373"/>
        <s v="EXP-5374"/>
        <s v="EXP-5375"/>
        <s v="EXP-5376"/>
        <s v="EXP-5377"/>
        <s v="EXP-5378"/>
        <s v="EXP-5379"/>
        <s v="EXP-5380"/>
        <s v="EXP-5381"/>
        <s v="EXP-5382"/>
        <s v="EXP-5383"/>
        <s v="EXP-5384"/>
        <s v="EXP-5385"/>
        <s v="EXP-5386"/>
        <s v="EXP-5387"/>
        <s v="EXP-5388"/>
        <s v="EXP-5389"/>
        <s v="EXP-5390"/>
        <s v="EXP-5391"/>
        <s v="EXP-5392"/>
        <s v="EXP-5393"/>
        <s v="EXP-5394"/>
        <s v="EXP-5395"/>
        <s v="EXP-5396"/>
        <s v="EXP-5397"/>
        <s v="EXP-5398"/>
        <s v="EXP-5399"/>
        <s v="EXP-5400"/>
        <s v="EXP-5401"/>
        <s v="EXP-5402"/>
        <s v="EXP-5403"/>
        <s v="EXP-5404"/>
        <s v="EXP-5405"/>
        <s v="EXP-5406"/>
        <s v="EXP-5407"/>
        <s v="EXP-5408"/>
        <s v="EXP-5409"/>
        <s v="EXP-5410"/>
        <s v="EXP-5411"/>
        <s v="EXP-5412"/>
        <s v="EXP-5413"/>
        <s v="EXP-5414"/>
        <s v="EXP-5415"/>
      </sharedItems>
    </cacheField>
    <cacheField name="Department" numFmtId="0">
      <sharedItems count="6">
        <s v="Engineering"/>
        <s v="Marketing"/>
        <s v="Sales"/>
        <s v="HR"/>
        <s v="Finance"/>
        <s v="Operations"/>
      </sharedItems>
    </cacheField>
    <cacheField name="Category" numFmtId="0">
      <sharedItems count="8">
        <s v="Software"/>
        <s v="Marketing"/>
        <s v="Office Supplies"/>
        <s v="Consulting"/>
        <s v="Equipment"/>
        <s v="Utilities"/>
        <s v="Travel"/>
        <s v="Training"/>
      </sharedItems>
    </cacheField>
    <cacheField name="Description" numFmtId="0">
      <sharedItems count="48">
        <s v="Software expense - Engineering"/>
        <s v="Marketing expense - Engineering"/>
        <s v="Office Supplies expense - Engineering"/>
        <s v="Consulting expense - Marketing"/>
        <s v="Equipment expense - Marketing"/>
        <s v="Software expense - Marketing"/>
        <s v="Equipment expense - Sales"/>
        <s v="Consulting expense - Sales"/>
        <s v="Utilities expense - Sales"/>
        <s v="Travel expense - Sales"/>
        <s v="Software expense - Sales"/>
        <s v="Marketing expense - HR"/>
        <s v="Equipment expense - HR"/>
        <s v="Utilities expense - HR"/>
        <s v="Travel expense - HR"/>
        <s v="Software expense - HR"/>
        <s v="Software expense - Finance"/>
        <s v="Utilities expense - Finance"/>
        <s v="Travel expense - Finance"/>
        <s v="Marketing expense - Finance"/>
        <s v="Equipment expense - Finance"/>
        <s v="Marketing expense - Operations"/>
        <s v="Office Supplies expense - Operations"/>
        <s v="Travel expense - Operations"/>
        <s v="Equipment expense - Operations"/>
        <s v="Training expense - Operations"/>
        <s v="Utilities expense - Engineering"/>
        <s v="Equipment expense - Engineering"/>
        <s v="Training expense - Engineering"/>
        <s v="Training expense - Marketing"/>
        <s v="Utilities expense - Marketing"/>
        <s v="Office Supplies expense - Sales"/>
        <s v="Training expense - Sales"/>
        <s v="Consulting expense - HR"/>
        <s v="Consulting expense - Finance"/>
        <s v="Office Supplies expense - Finance"/>
        <s v="Utilities expense - Operations"/>
        <s v="Office Supplies expense - Marketing"/>
        <s v="Marketing expense - Sales"/>
        <s v="Training expense - HR"/>
        <s v="Office Supplies expense - HR"/>
        <s v="Consulting expense - Operations"/>
        <s v="Software expense - Operations"/>
        <s v="Travel expense - Engineering"/>
        <s v="Consulting expense - Engineering"/>
        <s v="Travel expense - Marketing"/>
        <s v="Training expense - Finance"/>
        <s v="Marketing expense - Marketing"/>
      </sharedItems>
    </cacheField>
    <cacheField name="Amount (INR)" numFmtId="0">
      <sharedItems containsSemiMixedTypes="0" containsString="0" containsNumber="1" containsInteger="1" minValue="545" maxValue="195132"/>
    </cacheField>
    <cacheField name="Payment Method" numFmtId="0">
      <sharedItems count="4">
        <s v="Cash"/>
        <s v="Credit Card"/>
        <s v="Cheque"/>
        <s v="Bank Transfer"/>
      </sharedItems>
    </cacheField>
    <cacheField name="Approved" numFmtId="0">
      <sharedItems count="2">
        <s v="Yes"/>
        <s v="No"/>
      </sharedItems>
    </cacheField>
    <cacheField name="Budget Allocated" numFmtId="0">
      <sharedItems containsSemiMixedTypes="0" containsString="0" containsNumber="1" containsInteger="1" minValue="689" maxValue="253336"/>
    </cacheField>
    <cacheField name="Budget Remaining" numFmtId="0">
      <sharedItems containsSemiMixedTypes="0" containsString="0" containsNumber="1" containsInteger="1" minValue="0" maxValue="77496"/>
    </cacheField>
    <cacheField name="Vendor Name" numFmtId="0">
      <sharedItems count="10">
        <s v="PrintZone"/>
        <s v="AdPro Media"/>
        <s v="PowerGrid Co"/>
        <s v="CloudSoft"/>
        <s v="QuickTravel"/>
        <s v="SkillUp Academy"/>
        <s v="Strategy Consultants"/>
        <s v="TechMart India"/>
        <s v="HardwarePro"/>
        <s v="GlobalTravel"/>
      </sharedItems>
    </cacheField>
    <cacheField name="Invoice Number" numFmtId="0">
      <sharedItems count="414">
        <s v="INV-46989"/>
        <s v="INV-82311"/>
        <s v="INV-84029"/>
        <s v="INV-47015"/>
        <s v="INV-98432"/>
        <s v="INV-13104"/>
        <s v="INV-29862"/>
        <s v="INV-31108"/>
        <s v="INV-66479"/>
        <s v="INV-92285"/>
        <s v="INV-75393"/>
        <s v="INV-85564"/>
        <s v="INV-43557"/>
        <s v="INV-62551"/>
        <s v="INV-77171"/>
        <s v="INV-91345"/>
        <s v="INV-48097"/>
        <s v="INV-70591"/>
        <s v="INV-33628"/>
        <s v="INV-51587"/>
        <s v="INV-69582"/>
        <s v="INV-84475"/>
        <s v="INV-37973"/>
        <s v="INV-93320"/>
        <s v="INV-69168"/>
        <s v="INV-66168"/>
        <s v="INV-72324"/>
        <s v="INV-88266"/>
        <s v="INV-11859"/>
        <s v="INV-44446"/>
        <s v="INV-22772"/>
        <s v="INV-88766"/>
        <s v="INV-12122"/>
        <s v="INV-64270"/>
        <s v="INV-70138"/>
        <s v="INV-60012"/>
        <s v="INV-21484"/>
        <s v="INV-91766"/>
        <s v="INV-37770"/>
        <s v="INV-26310"/>
        <s v="INV-39351"/>
        <s v="INV-10544"/>
        <s v="INV-51611"/>
        <s v="INV-35252"/>
        <s v="INV-32769"/>
        <s v="INV-25515"/>
        <s v="INV-22223"/>
        <s v="INV-81260"/>
        <s v="INV-34452"/>
        <s v="INV-59559"/>
        <s v="INV-23555"/>
        <s v="INV-22160"/>
        <s v="INV-74361"/>
        <s v="INV-59185"/>
        <s v="INV-14122"/>
        <s v="INV-43357"/>
        <s v="INV-29968"/>
        <s v="INV-38804"/>
        <s v="INV-36114"/>
        <s v="INV-77194"/>
        <s v="INV-86499"/>
        <s v="INV-65540"/>
        <s v="INV-84336"/>
        <s v="INV-14424"/>
        <s v="INV-25027"/>
        <s v="INV-38204"/>
        <s v="INV-11428"/>
        <s v="INV-18681"/>
        <s v="INV-46444"/>
        <s v="INV-35971"/>
        <s v="INV-25631"/>
        <s v="INV-12787"/>
        <s v="INV-27178"/>
        <s v="INV-19103"/>
        <s v="INV-55327"/>
        <s v="INV-61554"/>
        <s v="INV-23466"/>
        <s v="INV-39667"/>
        <s v="INV-16880"/>
        <s v="INV-53165"/>
        <s v="INV-51855"/>
        <s v="INV-41525"/>
        <s v="INV-22032"/>
        <s v="INV-96439"/>
        <s v="INV-97883"/>
        <s v="INV-37349"/>
        <s v="INV-23849"/>
        <s v="INV-36610"/>
        <s v="INV-29305"/>
        <s v="INV-44964"/>
        <s v="INV-82129"/>
        <s v="INV-76574"/>
        <s v="INV-65389"/>
        <s v="INV-74699"/>
        <s v="INV-25097"/>
        <s v="INV-46105"/>
        <s v="INV-23278"/>
        <s v="INV-32417"/>
        <s v="INV-34258"/>
        <s v="INV-99318"/>
        <s v="INV-66088"/>
        <s v="INV-56156"/>
        <s v="INV-15921"/>
        <s v="INV-31928"/>
        <s v="INV-55977"/>
        <s v="INV-49470"/>
        <s v="INV-99887"/>
        <s v="INV-75251"/>
        <s v="INV-21701"/>
        <s v="INV-44774"/>
        <s v="INV-15387"/>
        <s v="INV-47802"/>
        <s v="INV-78575"/>
        <s v="INV-18469"/>
        <s v="INV-50084"/>
        <s v="INV-28051"/>
        <s v="INV-28696"/>
        <s v="INV-72020"/>
        <s v="INV-22863"/>
        <s v="INV-28242"/>
        <s v="INV-21219"/>
        <s v="INV-22588"/>
        <s v="INV-66055"/>
        <s v="INV-65170"/>
        <s v="INV-81207"/>
        <s v="INV-70661"/>
        <s v="INV-22766"/>
        <s v="INV-16949"/>
        <s v="INV-98562"/>
        <s v="INV-36306"/>
        <s v="INV-42401"/>
        <s v="INV-25966"/>
        <s v="INV-90315"/>
        <s v="INV-28571"/>
        <s v="INV-48015"/>
        <s v="INV-61273"/>
        <s v="INV-13666"/>
        <s v="INV-68258"/>
        <s v="INV-30750"/>
        <s v="INV-61199"/>
        <s v="INV-46482"/>
        <s v="INV-89408"/>
        <s v="INV-87182"/>
        <s v="INV-30863"/>
        <s v="INV-41013"/>
        <s v="INV-90203"/>
        <s v="INV-89499"/>
        <s v="INV-93544"/>
        <s v="INV-31245"/>
        <s v="INV-13177"/>
        <s v="INV-84487"/>
        <s v="INV-84759"/>
        <s v="INV-66034"/>
        <s v="INV-23226"/>
        <s v="INV-47997"/>
        <s v="INV-80047"/>
        <s v="INV-17424"/>
        <s v="INV-65234"/>
        <s v="INV-53202"/>
        <s v="INV-64557"/>
        <s v="INV-14666"/>
        <s v="INV-39852"/>
        <s v="INV-59727"/>
        <s v="INV-65945"/>
        <s v="INV-54974"/>
        <s v="INV-80283"/>
        <s v="INV-26608"/>
        <s v="INV-48327"/>
        <s v="INV-81256"/>
        <s v="INV-49677"/>
        <s v="INV-51793"/>
        <s v="INV-36680"/>
        <s v="INV-28607"/>
        <s v="INV-75392"/>
        <s v="INV-46581"/>
        <s v="INV-39418"/>
        <s v="INV-80981"/>
        <s v="INV-38382"/>
        <s v="INV-24314"/>
        <s v="INV-84488"/>
        <s v="INV-46791"/>
        <s v="INV-61721"/>
        <s v="INV-26293"/>
        <s v="INV-70650"/>
        <s v="INV-38553"/>
        <s v="INV-51160"/>
        <s v="INV-26675"/>
        <s v="INV-95799"/>
        <s v="INV-15499"/>
        <s v="INV-80836"/>
        <s v="INV-20151"/>
        <s v="INV-47104"/>
        <s v="INV-95456"/>
        <s v="INV-15847"/>
        <s v="INV-51039"/>
        <s v="INV-95093"/>
        <s v="INV-79174"/>
        <s v="INV-35562"/>
        <s v="INV-51263"/>
        <s v="INV-56135"/>
        <s v="INV-40115"/>
        <s v="INV-47602"/>
        <s v="INV-85499"/>
        <s v="INV-31859"/>
        <s v="INV-14466"/>
        <s v="INV-60870"/>
        <s v="INV-54146"/>
        <s v="INV-92684"/>
        <s v="INV-76764"/>
        <s v="INV-52000"/>
        <s v="INV-48974"/>
        <s v="INV-60340"/>
        <s v="INV-46471"/>
        <s v="INV-73784"/>
        <s v="INV-40366"/>
        <s v="INV-15209"/>
        <s v="INV-46941"/>
        <s v="INV-25720"/>
        <s v="INV-56362"/>
        <s v="INV-46190"/>
        <s v="INV-66803"/>
        <s v="INV-93164"/>
        <s v="INV-71618"/>
        <s v="INV-36027"/>
        <s v="INV-18816"/>
        <s v="INV-44481"/>
        <s v="INV-96106"/>
        <s v="INV-88360"/>
        <s v="INV-64997"/>
        <s v="INV-51799"/>
        <s v="INV-88781"/>
        <s v="INV-63609"/>
        <s v="INV-62255"/>
        <s v="INV-50437"/>
        <s v="INV-90052"/>
        <s v="INV-56229"/>
        <s v="INV-30577"/>
        <s v="INV-64184"/>
        <s v="INV-23437"/>
        <s v="INV-40147"/>
        <s v="INV-45389"/>
        <s v="INV-81001"/>
        <s v="INV-50919"/>
        <s v="INV-36563"/>
        <s v="INV-66299"/>
        <s v="INV-79888"/>
        <s v="INV-24195"/>
        <s v="INV-58473"/>
        <s v="INV-32184"/>
        <s v="INV-62847"/>
        <s v="INV-43033"/>
        <s v="INV-84096"/>
        <s v="INV-81511"/>
        <s v="INV-77427"/>
        <s v="INV-74904"/>
        <s v="INV-48895"/>
        <s v="INV-90622"/>
        <s v="INV-90478"/>
        <s v="INV-27739"/>
        <s v="INV-33491"/>
        <s v="INV-22300"/>
        <s v="INV-18751"/>
        <s v="INV-45989"/>
        <s v="INV-62857"/>
        <s v="INV-44463"/>
        <s v="INV-87616"/>
        <s v="INV-10350"/>
        <s v="INV-72320"/>
        <s v="INV-65758"/>
        <s v="INV-61543"/>
        <s v="INV-51546"/>
        <s v="INV-83464"/>
        <s v="INV-95471"/>
        <s v="INV-38020"/>
        <s v="INV-57315"/>
        <s v="INV-75902"/>
        <s v="INV-43166"/>
        <s v="INV-74264"/>
        <s v="INV-13779"/>
        <s v="INV-17346"/>
        <s v="INV-35451"/>
        <s v="INV-58005"/>
        <s v="INV-75735"/>
        <s v="INV-36041"/>
        <s v="INV-83473"/>
        <s v="INV-21555"/>
        <s v="INV-92132"/>
        <s v="INV-42339"/>
        <s v="INV-16990"/>
        <s v="INV-34673"/>
        <s v="INV-22112"/>
        <s v="INV-86706"/>
        <s v="INV-37190"/>
        <s v="INV-37619"/>
        <s v="INV-72286"/>
        <s v="INV-52253"/>
        <s v="INV-53871"/>
        <s v="INV-71189"/>
        <s v="INV-67012"/>
        <s v="INV-73249"/>
        <s v="INV-45305"/>
        <s v="INV-78692"/>
        <s v="INV-50537"/>
        <s v="INV-36267"/>
        <s v="INV-21818"/>
        <s v="INV-30883"/>
        <s v="INV-97613"/>
        <s v="INV-27501"/>
        <s v="INV-80007"/>
        <s v="INV-33351"/>
        <s v="INV-62190"/>
        <s v="INV-49575"/>
        <s v="INV-47350"/>
        <s v="INV-31435"/>
        <s v="INV-99923"/>
        <s v="INV-26874"/>
        <s v="INV-49708"/>
        <s v="INV-72068"/>
        <s v="INV-79692"/>
        <s v="INV-43795"/>
        <s v="INV-70917"/>
        <s v="INV-88555"/>
        <s v="INV-45027"/>
        <s v="INV-93359"/>
        <s v="INV-21016"/>
        <s v="INV-55270"/>
        <s v="INV-52806"/>
        <s v="INV-20323"/>
        <s v="INV-43666"/>
        <s v="INV-49741"/>
        <s v="INV-46016"/>
        <s v="INV-45740"/>
        <s v="INV-70613"/>
        <s v="INV-90135"/>
        <s v="INV-93200"/>
        <s v="INV-51896"/>
        <s v="INV-32283"/>
        <s v="INV-55259"/>
        <s v="INV-51331"/>
        <s v="INV-84041"/>
        <s v="INV-40765"/>
        <s v="INV-38613"/>
        <s v="INV-63545"/>
        <s v="INV-92611"/>
        <s v="INV-79796"/>
        <s v="INV-30574"/>
        <s v="INV-99568"/>
        <s v="INV-93416"/>
        <s v="INV-63578"/>
        <s v="INV-12977"/>
        <s v="INV-41367"/>
        <s v="INV-18495"/>
        <s v="INV-41704"/>
        <s v="INV-70583"/>
        <s v="INV-60504"/>
        <s v="INV-13109"/>
        <s v="INV-57628"/>
        <s v="INV-23582"/>
        <s v="INV-64118"/>
        <s v="INV-22730"/>
        <s v="INV-54884"/>
        <s v="INV-46083"/>
        <s v="INV-83864"/>
        <s v="INV-72296"/>
        <s v="INV-48316"/>
        <s v="INV-29446"/>
        <s v="INV-32335"/>
        <s v="INV-59542"/>
        <s v="INV-59790"/>
        <s v="INV-89775"/>
        <s v="INV-78697"/>
        <s v="INV-53190"/>
        <s v="INV-84278"/>
        <s v="INV-69777"/>
        <s v="INV-18345"/>
        <s v="INV-86188"/>
        <s v="INV-35745"/>
        <s v="INV-87250"/>
        <s v="INV-24617"/>
        <s v="INV-63368"/>
        <s v="INV-94578"/>
        <s v="INV-75937"/>
        <s v="INV-51839"/>
        <s v="INV-68090"/>
        <s v="INV-40382"/>
        <s v="INV-89891"/>
        <s v="INV-32515"/>
        <s v="INV-44452"/>
        <s v="INV-68944"/>
        <s v="INV-17249"/>
        <s v="INV-36504"/>
        <s v="INV-52688"/>
        <s v="INV-19755"/>
        <s v="INV-73837"/>
        <s v="INV-17355"/>
        <s v="INV-27600"/>
        <s v="INV-87307"/>
        <s v="INV-85069"/>
        <s v="INV-51151"/>
        <s v="INV-39842"/>
        <s v="INV-13032"/>
        <s v="INV-79258"/>
        <s v="INV-52869"/>
        <s v="INV-22077"/>
        <s v="INV-89958"/>
        <s v="INV-69151"/>
        <s v="INV-66675"/>
        <s v="INV-39521"/>
        <s v="INV-79778"/>
        <s v="INV-34752"/>
        <s v="INV-55681"/>
        <s v="INV-31402"/>
        <s v="INV-67624"/>
        <s v="INV-68564"/>
      </sharedItems>
    </cacheField>
    <cacheField name="Month" numFmtId="0">
      <sharedItems count="1">
        <s v="2026"/>
      </sharedItems>
    </cacheField>
  </cacheFields>
  <extLst>
    <ext xmlns:x14="http://schemas.microsoft.com/office/spreadsheetml/2009/9/main" uri="{725AE2AE-9491-48be-B2B4-4EB974FC3084}">
      <x14:pivotCacheDefinition pivotCacheId="2755451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anush waran" refreshedDate="46214.334549768515" createdVersion="8" refreshedVersion="8" minRefreshableVersion="3" recordCount="415" xr:uid="{519503E8-1574-4AE3-88AB-080444290EE4}">
  <cacheSource type="worksheet">
    <worksheetSource name="Table1"/>
  </cacheSource>
  <cacheFields count="12">
    <cacheField name="Expense ID" numFmtId="0">
      <sharedItems count="415">
        <s v="EXP-5001"/>
        <s v="EXP-5002"/>
        <s v="EXP-5003"/>
        <s v="EXP-5004"/>
        <s v="EXP-5005"/>
        <s v="EXP-5006"/>
        <s v="EXP-5007"/>
        <s v="EXP-5008"/>
        <s v="EXP-5009"/>
        <s v="EXP-5010"/>
        <s v="EXP-5011"/>
        <s v="EXP-5012"/>
        <s v="EXP-5013"/>
        <s v="EXP-5014"/>
        <s v="EXP-5015"/>
        <s v="EXP-5016"/>
        <s v="EXP-5017"/>
        <s v="EXP-5018"/>
        <s v="EXP-5019"/>
        <s v="EXP-5020"/>
        <s v="EXP-5021"/>
        <s v="EXP-5022"/>
        <s v="EXP-5023"/>
        <s v="EXP-5024"/>
        <s v="EXP-5025"/>
        <s v="EXP-5026"/>
        <s v="EXP-5027"/>
        <s v="EXP-5028"/>
        <s v="EXP-5029"/>
        <s v="EXP-5030"/>
        <s v="EXP-5031"/>
        <s v="EXP-5032"/>
        <s v="EXP-5033"/>
        <s v="EXP-5034"/>
        <s v="EXP-5035"/>
        <s v="EXP-5036"/>
        <s v="EXP-5037"/>
        <s v="EXP-5038"/>
        <s v="EXP-5039"/>
        <s v="EXP-5040"/>
        <s v="EXP-5041"/>
        <s v="EXP-5042"/>
        <s v="EXP-5043"/>
        <s v="EXP-5044"/>
        <s v="EXP-5045"/>
        <s v="EXP-5046"/>
        <s v="EXP-5047"/>
        <s v="EXP-5048"/>
        <s v="EXP-5049"/>
        <s v="EXP-5050"/>
        <s v="EXP-5051"/>
        <s v="EXP-5052"/>
        <s v="EXP-5053"/>
        <s v="EXP-5054"/>
        <s v="EXP-5055"/>
        <s v="EXP-5056"/>
        <s v="EXP-5057"/>
        <s v="EXP-5058"/>
        <s v="EXP-5059"/>
        <s v="EXP-5060"/>
        <s v="EXP-5061"/>
        <s v="EXP-5062"/>
        <s v="EXP-5063"/>
        <s v="EXP-5064"/>
        <s v="EXP-5065"/>
        <s v="EXP-5066"/>
        <s v="EXP-5067"/>
        <s v="EXP-5068"/>
        <s v="EXP-5069"/>
        <s v="EXP-5070"/>
        <s v="EXP-5071"/>
        <s v="EXP-5072"/>
        <s v="EXP-5073"/>
        <s v="EXP-5074"/>
        <s v="EXP-5075"/>
        <s v="EXP-5076"/>
        <s v="EXP-5077"/>
        <s v="EXP-5078"/>
        <s v="EXP-5079"/>
        <s v="EXP-5080"/>
        <s v="EXP-5081"/>
        <s v="EXP-5082"/>
        <s v="EXP-5083"/>
        <s v="EXP-5084"/>
        <s v="EXP-5085"/>
        <s v="EXP-5086"/>
        <s v="EXP-5087"/>
        <s v="EXP-5088"/>
        <s v="EXP-5089"/>
        <s v="EXP-5090"/>
        <s v="EXP-5091"/>
        <s v="EXP-5092"/>
        <s v="EXP-5093"/>
        <s v="EXP-5094"/>
        <s v="EXP-5095"/>
        <s v="EXP-5096"/>
        <s v="EXP-5097"/>
        <s v="EXP-5098"/>
        <s v="EXP-5099"/>
        <s v="EXP-5100"/>
        <s v="EXP-5101"/>
        <s v="EXP-5102"/>
        <s v="EXP-5103"/>
        <s v="EXP-5104"/>
        <s v="EXP-5105"/>
        <s v="EXP-5106"/>
        <s v="EXP-5107"/>
        <s v="EXP-5108"/>
        <s v="EXP-5109"/>
        <s v="EXP-5110"/>
        <s v="EXP-5111"/>
        <s v="EXP-5112"/>
        <s v="EXP-5113"/>
        <s v="EXP-5114"/>
        <s v="EXP-5115"/>
        <s v="EXP-5116"/>
        <s v="EXP-5117"/>
        <s v="EXP-5118"/>
        <s v="EXP-5119"/>
        <s v="EXP-5120"/>
        <s v="EXP-5121"/>
        <s v="EXP-5122"/>
        <s v="EXP-5123"/>
        <s v="EXP-5124"/>
        <s v="EXP-5125"/>
        <s v="EXP-5126"/>
        <s v="EXP-5127"/>
        <s v="EXP-5128"/>
        <s v="EXP-5129"/>
        <s v="EXP-5130"/>
        <s v="EXP-5131"/>
        <s v="EXP-5132"/>
        <s v="EXP-5133"/>
        <s v="EXP-5134"/>
        <s v="EXP-5135"/>
        <s v="EXP-5136"/>
        <s v="EXP-5137"/>
        <s v="EXP-5138"/>
        <s v="EXP-5139"/>
        <s v="EXP-5140"/>
        <s v="EXP-5141"/>
        <s v="EXP-5142"/>
        <s v="EXP-5143"/>
        <s v="EXP-5144"/>
        <s v="EXP-5145"/>
        <s v="EXP-5146"/>
        <s v="EXP-5147"/>
        <s v="EXP-5148"/>
        <s v="EXP-5149"/>
        <s v="EXP-5150"/>
        <s v="EXP-5151"/>
        <s v="EXP-5152"/>
        <s v="EXP-5153"/>
        <s v="EXP-5154"/>
        <s v="EXP-5155"/>
        <s v="EXP-5156"/>
        <s v="EXP-5157"/>
        <s v="EXP-5158"/>
        <s v="EXP-5159"/>
        <s v="EXP-5160"/>
        <s v="EXP-5161"/>
        <s v="EXP-5162"/>
        <s v="EXP-5163"/>
        <s v="EXP-5164"/>
        <s v="EXP-5165"/>
        <s v="EXP-5166"/>
        <s v="EXP-5167"/>
        <s v="EXP-5168"/>
        <s v="EXP-5169"/>
        <s v="EXP-5170"/>
        <s v="EXP-5171"/>
        <s v="EXP-5172"/>
        <s v="EXP-5173"/>
        <s v="EXP-5174"/>
        <s v="EXP-5175"/>
        <s v="EXP-5176"/>
        <s v="EXP-5177"/>
        <s v="EXP-5178"/>
        <s v="EXP-5179"/>
        <s v="EXP-5180"/>
        <s v="EXP-5181"/>
        <s v="EXP-5182"/>
        <s v="EXP-5183"/>
        <s v="EXP-5184"/>
        <s v="EXP-5185"/>
        <s v="EXP-5186"/>
        <s v="EXP-5187"/>
        <s v="EXP-5188"/>
        <s v="EXP-5189"/>
        <s v="EXP-5190"/>
        <s v="EXP-5191"/>
        <s v="EXP-5192"/>
        <s v="EXP-5193"/>
        <s v="EXP-5194"/>
        <s v="EXP-5195"/>
        <s v="EXP-5196"/>
        <s v="EXP-5197"/>
        <s v="EXP-5198"/>
        <s v="EXP-5199"/>
        <s v="EXP-5200"/>
        <s v="EXP-5201"/>
        <s v="EXP-5202"/>
        <s v="EXP-5203"/>
        <s v="EXP-5204"/>
        <s v="EXP-5205"/>
        <s v="EXP-5206"/>
        <s v="EXP-5207"/>
        <s v="EXP-5208"/>
        <s v="EXP-5209"/>
        <s v="EXP-5210"/>
        <s v="EXP-5211"/>
        <s v="EXP-5212"/>
        <s v="EXP-5213"/>
        <s v="EXP-5214"/>
        <s v="EXP-5215"/>
        <s v="EXP-5216"/>
        <s v="EXP-5217"/>
        <s v="EXP-5218"/>
        <s v="EXP-5219"/>
        <s v="EXP-5220"/>
        <s v="EXP-5221"/>
        <s v="EXP-5222"/>
        <s v="EXP-5223"/>
        <s v="EXP-5224"/>
        <s v="EXP-5225"/>
        <s v="EXP-5226"/>
        <s v="EXP-5227"/>
        <s v="EXP-5228"/>
        <s v="EXP-5229"/>
        <s v="EXP-5230"/>
        <s v="EXP-5231"/>
        <s v="EXP-5232"/>
        <s v="EXP-5233"/>
        <s v="EXP-5234"/>
        <s v="EXP-5235"/>
        <s v="EXP-5236"/>
        <s v="EXP-5237"/>
        <s v="EXP-5238"/>
        <s v="EXP-5239"/>
        <s v="EXP-5240"/>
        <s v="EXP-5241"/>
        <s v="EXP-5242"/>
        <s v="EXP-5243"/>
        <s v="EXP-5244"/>
        <s v="EXP-5245"/>
        <s v="EXP-5246"/>
        <s v="EXP-5247"/>
        <s v="EXP-5248"/>
        <s v="EXP-5249"/>
        <s v="EXP-5250"/>
        <s v="EXP-5251"/>
        <s v="EXP-5252"/>
        <s v="EXP-5253"/>
        <s v="EXP-5254"/>
        <s v="EXP-5255"/>
        <s v="EXP-5256"/>
        <s v="EXP-5257"/>
        <s v="EXP-5258"/>
        <s v="EXP-5259"/>
        <s v="EXP-5260"/>
        <s v="EXP-5261"/>
        <s v="EXP-5262"/>
        <s v="EXP-5263"/>
        <s v="EXP-5264"/>
        <s v="EXP-5265"/>
        <s v="EXP-5266"/>
        <s v="EXP-5267"/>
        <s v="EXP-5268"/>
        <s v="EXP-5269"/>
        <s v="EXP-5270"/>
        <s v="EXP-5271"/>
        <s v="EXP-5272"/>
        <s v="EXP-5273"/>
        <s v="EXP-5274"/>
        <s v="EXP-5275"/>
        <s v="EXP-5276"/>
        <s v="EXP-5277"/>
        <s v="EXP-5278"/>
        <s v="EXP-5279"/>
        <s v="EXP-5280"/>
        <s v="EXP-5281"/>
        <s v="EXP-5282"/>
        <s v="EXP-5283"/>
        <s v="EXP-5284"/>
        <s v="EXP-5285"/>
        <s v="EXP-5286"/>
        <s v="EXP-5287"/>
        <s v="EXP-5288"/>
        <s v="EXP-5289"/>
        <s v="EXP-5290"/>
        <s v="EXP-5291"/>
        <s v="EXP-5292"/>
        <s v="EXP-5293"/>
        <s v="EXP-5294"/>
        <s v="EXP-5295"/>
        <s v="EXP-5296"/>
        <s v="EXP-5297"/>
        <s v="EXP-5298"/>
        <s v="EXP-5299"/>
        <s v="EXP-5300"/>
        <s v="EXP-5301"/>
        <s v="EXP-5302"/>
        <s v="EXP-5303"/>
        <s v="EXP-5304"/>
        <s v="EXP-5305"/>
        <s v="EXP-5306"/>
        <s v="EXP-5307"/>
        <s v="EXP-5308"/>
        <s v="EXP-5309"/>
        <s v="EXP-5310"/>
        <s v="EXP-5311"/>
        <s v="EXP-5312"/>
        <s v="EXP-5313"/>
        <s v="EXP-5314"/>
        <s v="EXP-5315"/>
        <s v="EXP-5316"/>
        <s v="EXP-5317"/>
        <s v="EXP-5318"/>
        <s v="EXP-5319"/>
        <s v="EXP-5320"/>
        <s v="EXP-5321"/>
        <s v="EXP-5322"/>
        <s v="EXP-5323"/>
        <s v="EXP-5324"/>
        <s v="EXP-5325"/>
        <s v="EXP-5326"/>
        <s v="EXP-5327"/>
        <s v="EXP-5328"/>
        <s v="EXP-5329"/>
        <s v="EXP-5330"/>
        <s v="EXP-5331"/>
        <s v="EXP-5332"/>
        <s v="EXP-5333"/>
        <s v="EXP-5334"/>
        <s v="EXP-5335"/>
        <s v="EXP-5336"/>
        <s v="EXP-5337"/>
        <s v="EXP-5338"/>
        <s v="EXP-5339"/>
        <s v="EXP-5340"/>
        <s v="EXP-5341"/>
        <s v="EXP-5342"/>
        <s v="EXP-5343"/>
        <s v="EXP-5344"/>
        <s v="EXP-5345"/>
        <s v="EXP-5346"/>
        <s v="EXP-5347"/>
        <s v="EXP-5348"/>
        <s v="EXP-5349"/>
        <s v="EXP-5350"/>
        <s v="EXP-5351"/>
        <s v="EXP-5352"/>
        <s v="EXP-5353"/>
        <s v="EXP-5354"/>
        <s v="EXP-5355"/>
        <s v="EXP-5356"/>
        <s v="EXP-5357"/>
        <s v="EXP-5358"/>
        <s v="EXP-5359"/>
        <s v="EXP-5360"/>
        <s v="EXP-5361"/>
        <s v="EXP-5362"/>
        <s v="EXP-5363"/>
        <s v="EXP-5364"/>
        <s v="EXP-5365"/>
        <s v="EXP-5366"/>
        <s v="EXP-5367"/>
        <s v="EXP-5368"/>
        <s v="EXP-5369"/>
        <s v="EXP-5370"/>
        <s v="EXP-5371"/>
        <s v="EXP-5372"/>
        <s v="EXP-5373"/>
        <s v="EXP-5374"/>
        <s v="EXP-5375"/>
        <s v="EXP-5376"/>
        <s v="EXP-5377"/>
        <s v="EXP-5378"/>
        <s v="EXP-5379"/>
        <s v="EXP-5380"/>
        <s v="EXP-5381"/>
        <s v="EXP-5382"/>
        <s v="EXP-5383"/>
        <s v="EXP-5384"/>
        <s v="EXP-5385"/>
        <s v="EXP-5386"/>
        <s v="EXP-5387"/>
        <s v="EXP-5388"/>
        <s v="EXP-5389"/>
        <s v="EXP-5390"/>
        <s v="EXP-5391"/>
        <s v="EXP-5392"/>
        <s v="EXP-5393"/>
        <s v="EXP-5394"/>
        <s v="EXP-5395"/>
        <s v="EXP-5396"/>
        <s v="EXP-5397"/>
        <s v="EXP-5398"/>
        <s v="EXP-5399"/>
        <s v="EXP-5400"/>
        <s v="EXP-5401"/>
        <s v="EXP-5402"/>
        <s v="EXP-5403"/>
        <s v="EXP-5404"/>
        <s v="EXP-5405"/>
        <s v="EXP-5406"/>
        <s v="EXP-5407"/>
        <s v="EXP-5408"/>
        <s v="EXP-5409"/>
        <s v="EXP-5410"/>
        <s v="EXP-5411"/>
        <s v="EXP-5412"/>
        <s v="EXP-5413"/>
        <s v="EXP-5414"/>
        <s v="EXP-5415"/>
      </sharedItems>
    </cacheField>
    <cacheField name="Department" numFmtId="0">
      <sharedItems/>
    </cacheField>
    <cacheField name="Category" numFmtId="0">
      <sharedItems count="8">
        <s v="Software"/>
        <s v="Marketing"/>
        <s v="Office Supplies"/>
        <s v="Consulting"/>
        <s v="Equipment"/>
        <s v="Utilities"/>
        <s v="Travel"/>
        <s v="Training"/>
      </sharedItems>
    </cacheField>
    <cacheField name="Description" numFmtId="0">
      <sharedItems/>
    </cacheField>
    <cacheField name="Amount (INR)" numFmtId="0">
      <sharedItems containsSemiMixedTypes="0" containsString="0" containsNumber="1" containsInteger="1" minValue="545" maxValue="195132"/>
    </cacheField>
    <cacheField name="Payment Method" numFmtId="0">
      <sharedItems/>
    </cacheField>
    <cacheField name="Approved" numFmtId="0">
      <sharedItems/>
    </cacheField>
    <cacheField name="Budget Allocated" numFmtId="0">
      <sharedItems containsSemiMixedTypes="0" containsString="0" containsNumber="1" containsInteger="1" minValue="689" maxValue="253336"/>
    </cacheField>
    <cacheField name="Budget Remaining" numFmtId="0">
      <sharedItems containsSemiMixedTypes="0" containsString="0" containsNumber="1" containsInteger="1" minValue="0" maxValue="77496"/>
    </cacheField>
    <cacheField name="Vendor Name" numFmtId="0">
      <sharedItems/>
    </cacheField>
    <cacheField name="Invoice Number" numFmtId="0">
      <sharedItems/>
    </cacheField>
    <cacheField name="Month" numFmtId="0">
      <sharedItems/>
    </cacheField>
  </cacheFields>
  <extLst>
    <ext xmlns:x14="http://schemas.microsoft.com/office/spreadsheetml/2009/9/main" uri="{725AE2AE-9491-48be-B2B4-4EB974FC3084}">
      <x14:pivotCacheDefinition pivotCacheId="997900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
  <r>
    <x v="0"/>
    <x v="0"/>
    <x v="0"/>
    <x v="0"/>
    <n v="7099"/>
    <x v="0"/>
    <x v="0"/>
    <n v="8386"/>
    <n v="1287"/>
    <x v="0"/>
    <x v="0"/>
    <x v="0"/>
  </r>
  <r>
    <x v="1"/>
    <x v="0"/>
    <x v="1"/>
    <x v="1"/>
    <n v="37909"/>
    <x v="1"/>
    <x v="0"/>
    <n v="39147"/>
    <n v="1238"/>
    <x v="0"/>
    <x v="1"/>
    <x v="0"/>
  </r>
  <r>
    <x v="2"/>
    <x v="0"/>
    <x v="2"/>
    <x v="2"/>
    <n v="5729"/>
    <x v="0"/>
    <x v="0"/>
    <n v="8391"/>
    <n v="2662"/>
    <x v="1"/>
    <x v="2"/>
    <x v="0"/>
  </r>
  <r>
    <x v="3"/>
    <x v="1"/>
    <x v="3"/>
    <x v="3"/>
    <n v="21974"/>
    <x v="0"/>
    <x v="0"/>
    <n v="22502"/>
    <n v="528"/>
    <x v="2"/>
    <x v="3"/>
    <x v="0"/>
  </r>
  <r>
    <x v="4"/>
    <x v="1"/>
    <x v="4"/>
    <x v="4"/>
    <n v="70564"/>
    <x v="2"/>
    <x v="0"/>
    <n v="77440"/>
    <n v="6876"/>
    <x v="3"/>
    <x v="4"/>
    <x v="0"/>
  </r>
  <r>
    <x v="5"/>
    <x v="1"/>
    <x v="0"/>
    <x v="5"/>
    <n v="23713"/>
    <x v="1"/>
    <x v="1"/>
    <n v="28542"/>
    <n v="4829"/>
    <x v="3"/>
    <x v="5"/>
    <x v="0"/>
  </r>
  <r>
    <x v="6"/>
    <x v="2"/>
    <x v="4"/>
    <x v="6"/>
    <n v="67515"/>
    <x v="1"/>
    <x v="0"/>
    <n v="87309"/>
    <n v="19794"/>
    <x v="3"/>
    <x v="6"/>
    <x v="0"/>
  </r>
  <r>
    <x v="7"/>
    <x v="2"/>
    <x v="3"/>
    <x v="7"/>
    <n v="30644"/>
    <x v="3"/>
    <x v="0"/>
    <n v="44207"/>
    <n v="13563"/>
    <x v="3"/>
    <x v="7"/>
    <x v="0"/>
  </r>
  <r>
    <x v="8"/>
    <x v="2"/>
    <x v="5"/>
    <x v="8"/>
    <n v="8331"/>
    <x v="0"/>
    <x v="0"/>
    <n v="11602"/>
    <n v="3271"/>
    <x v="1"/>
    <x v="8"/>
    <x v="0"/>
  </r>
  <r>
    <x v="9"/>
    <x v="2"/>
    <x v="6"/>
    <x v="9"/>
    <n v="55807"/>
    <x v="1"/>
    <x v="0"/>
    <n v="62479"/>
    <n v="6672"/>
    <x v="1"/>
    <x v="9"/>
    <x v="0"/>
  </r>
  <r>
    <x v="10"/>
    <x v="2"/>
    <x v="3"/>
    <x v="7"/>
    <n v="35534"/>
    <x v="0"/>
    <x v="1"/>
    <n v="49832"/>
    <n v="14298"/>
    <x v="4"/>
    <x v="10"/>
    <x v="0"/>
  </r>
  <r>
    <x v="11"/>
    <x v="2"/>
    <x v="0"/>
    <x v="10"/>
    <n v="31806"/>
    <x v="3"/>
    <x v="0"/>
    <n v="36795"/>
    <n v="4989"/>
    <x v="5"/>
    <x v="11"/>
    <x v="0"/>
  </r>
  <r>
    <x v="12"/>
    <x v="2"/>
    <x v="5"/>
    <x v="8"/>
    <n v="6789"/>
    <x v="2"/>
    <x v="0"/>
    <n v="7092"/>
    <n v="303"/>
    <x v="6"/>
    <x v="12"/>
    <x v="0"/>
  </r>
  <r>
    <x v="13"/>
    <x v="3"/>
    <x v="1"/>
    <x v="11"/>
    <n v="42497"/>
    <x v="1"/>
    <x v="0"/>
    <n v="63144"/>
    <n v="20647"/>
    <x v="5"/>
    <x v="13"/>
    <x v="0"/>
  </r>
  <r>
    <x v="14"/>
    <x v="3"/>
    <x v="4"/>
    <x v="12"/>
    <n v="117328"/>
    <x v="3"/>
    <x v="0"/>
    <n v="153681"/>
    <n v="36353"/>
    <x v="2"/>
    <x v="14"/>
    <x v="0"/>
  </r>
  <r>
    <x v="15"/>
    <x v="3"/>
    <x v="5"/>
    <x v="13"/>
    <n v="7122"/>
    <x v="2"/>
    <x v="0"/>
    <n v="7419"/>
    <n v="297"/>
    <x v="7"/>
    <x v="15"/>
    <x v="0"/>
  </r>
  <r>
    <x v="16"/>
    <x v="3"/>
    <x v="6"/>
    <x v="14"/>
    <n v="37088"/>
    <x v="1"/>
    <x v="0"/>
    <n v="50064"/>
    <n v="12976"/>
    <x v="4"/>
    <x v="16"/>
    <x v="0"/>
  </r>
  <r>
    <x v="17"/>
    <x v="3"/>
    <x v="4"/>
    <x v="12"/>
    <n v="25736"/>
    <x v="1"/>
    <x v="0"/>
    <n v="33072"/>
    <n v="7336"/>
    <x v="8"/>
    <x v="17"/>
    <x v="0"/>
  </r>
  <r>
    <x v="18"/>
    <x v="3"/>
    <x v="0"/>
    <x v="15"/>
    <n v="24867"/>
    <x v="2"/>
    <x v="0"/>
    <n v="30659"/>
    <n v="5792"/>
    <x v="4"/>
    <x v="18"/>
    <x v="0"/>
  </r>
  <r>
    <x v="19"/>
    <x v="4"/>
    <x v="0"/>
    <x v="16"/>
    <n v="28014"/>
    <x v="2"/>
    <x v="0"/>
    <n v="38774"/>
    <n v="10760"/>
    <x v="4"/>
    <x v="19"/>
    <x v="0"/>
  </r>
  <r>
    <x v="20"/>
    <x v="4"/>
    <x v="5"/>
    <x v="17"/>
    <n v="10901"/>
    <x v="2"/>
    <x v="0"/>
    <n v="13552"/>
    <n v="2651"/>
    <x v="5"/>
    <x v="20"/>
    <x v="0"/>
  </r>
  <r>
    <x v="21"/>
    <x v="4"/>
    <x v="6"/>
    <x v="18"/>
    <n v="76444"/>
    <x v="3"/>
    <x v="0"/>
    <n v="82397"/>
    <n v="5953"/>
    <x v="2"/>
    <x v="21"/>
    <x v="0"/>
  </r>
  <r>
    <x v="22"/>
    <x v="4"/>
    <x v="6"/>
    <x v="18"/>
    <n v="54844"/>
    <x v="0"/>
    <x v="0"/>
    <n v="56555"/>
    <n v="1711"/>
    <x v="6"/>
    <x v="22"/>
    <x v="0"/>
  </r>
  <r>
    <x v="23"/>
    <x v="4"/>
    <x v="6"/>
    <x v="18"/>
    <n v="32720"/>
    <x v="2"/>
    <x v="0"/>
    <n v="46921"/>
    <n v="14201"/>
    <x v="5"/>
    <x v="23"/>
    <x v="0"/>
  </r>
  <r>
    <x v="24"/>
    <x v="4"/>
    <x v="1"/>
    <x v="19"/>
    <n v="31912"/>
    <x v="2"/>
    <x v="0"/>
    <n v="34174"/>
    <n v="2262"/>
    <x v="5"/>
    <x v="24"/>
    <x v="0"/>
  </r>
  <r>
    <x v="25"/>
    <x v="4"/>
    <x v="4"/>
    <x v="20"/>
    <n v="73783"/>
    <x v="3"/>
    <x v="0"/>
    <n v="81682"/>
    <n v="7899"/>
    <x v="4"/>
    <x v="25"/>
    <x v="0"/>
  </r>
  <r>
    <x v="26"/>
    <x v="4"/>
    <x v="5"/>
    <x v="17"/>
    <n v="13340"/>
    <x v="0"/>
    <x v="0"/>
    <n v="15320"/>
    <n v="1980"/>
    <x v="6"/>
    <x v="26"/>
    <x v="0"/>
  </r>
  <r>
    <x v="27"/>
    <x v="5"/>
    <x v="1"/>
    <x v="21"/>
    <n v="124500"/>
    <x v="2"/>
    <x v="0"/>
    <n v="146580"/>
    <n v="22080"/>
    <x v="9"/>
    <x v="27"/>
    <x v="0"/>
  </r>
  <r>
    <x v="28"/>
    <x v="5"/>
    <x v="2"/>
    <x v="22"/>
    <n v="1137"/>
    <x v="3"/>
    <x v="0"/>
    <n v="1548"/>
    <n v="411"/>
    <x v="2"/>
    <x v="28"/>
    <x v="0"/>
  </r>
  <r>
    <x v="29"/>
    <x v="5"/>
    <x v="1"/>
    <x v="21"/>
    <n v="130234"/>
    <x v="0"/>
    <x v="0"/>
    <n v="191042"/>
    <n v="60808"/>
    <x v="8"/>
    <x v="29"/>
    <x v="0"/>
  </r>
  <r>
    <x v="30"/>
    <x v="5"/>
    <x v="6"/>
    <x v="23"/>
    <n v="64055"/>
    <x v="3"/>
    <x v="0"/>
    <n v="94267"/>
    <n v="30212"/>
    <x v="1"/>
    <x v="30"/>
    <x v="0"/>
  </r>
  <r>
    <x v="31"/>
    <x v="5"/>
    <x v="6"/>
    <x v="23"/>
    <n v="33655"/>
    <x v="2"/>
    <x v="1"/>
    <n v="46203"/>
    <n v="12548"/>
    <x v="3"/>
    <x v="31"/>
    <x v="0"/>
  </r>
  <r>
    <x v="32"/>
    <x v="5"/>
    <x v="4"/>
    <x v="24"/>
    <n v="33329"/>
    <x v="1"/>
    <x v="0"/>
    <n v="39130"/>
    <n v="5801"/>
    <x v="2"/>
    <x v="32"/>
    <x v="0"/>
  </r>
  <r>
    <x v="33"/>
    <x v="5"/>
    <x v="7"/>
    <x v="25"/>
    <n v="13058"/>
    <x v="1"/>
    <x v="0"/>
    <n v="16336"/>
    <n v="3278"/>
    <x v="6"/>
    <x v="33"/>
    <x v="0"/>
  </r>
  <r>
    <x v="34"/>
    <x v="0"/>
    <x v="5"/>
    <x v="26"/>
    <n v="6770"/>
    <x v="0"/>
    <x v="0"/>
    <n v="9573"/>
    <n v="2803"/>
    <x v="3"/>
    <x v="34"/>
    <x v="0"/>
  </r>
  <r>
    <x v="35"/>
    <x v="0"/>
    <x v="4"/>
    <x v="27"/>
    <n v="53905"/>
    <x v="3"/>
    <x v="1"/>
    <n v="58673"/>
    <n v="4768"/>
    <x v="8"/>
    <x v="35"/>
    <x v="0"/>
  </r>
  <r>
    <x v="36"/>
    <x v="0"/>
    <x v="7"/>
    <x v="28"/>
    <n v="24613"/>
    <x v="0"/>
    <x v="1"/>
    <n v="33087"/>
    <n v="8474"/>
    <x v="4"/>
    <x v="36"/>
    <x v="0"/>
  </r>
  <r>
    <x v="37"/>
    <x v="0"/>
    <x v="0"/>
    <x v="0"/>
    <n v="7874"/>
    <x v="2"/>
    <x v="0"/>
    <n v="10432"/>
    <n v="2558"/>
    <x v="6"/>
    <x v="37"/>
    <x v="0"/>
  </r>
  <r>
    <x v="38"/>
    <x v="0"/>
    <x v="0"/>
    <x v="0"/>
    <n v="43518"/>
    <x v="1"/>
    <x v="0"/>
    <n v="53181"/>
    <n v="9663"/>
    <x v="8"/>
    <x v="38"/>
    <x v="0"/>
  </r>
  <r>
    <x v="39"/>
    <x v="0"/>
    <x v="2"/>
    <x v="2"/>
    <n v="6864"/>
    <x v="1"/>
    <x v="0"/>
    <n v="8424"/>
    <n v="1560"/>
    <x v="6"/>
    <x v="39"/>
    <x v="0"/>
  </r>
  <r>
    <x v="40"/>
    <x v="1"/>
    <x v="3"/>
    <x v="3"/>
    <n v="118248"/>
    <x v="2"/>
    <x v="0"/>
    <n v="171932"/>
    <n v="53684"/>
    <x v="2"/>
    <x v="40"/>
    <x v="0"/>
  </r>
  <r>
    <x v="41"/>
    <x v="1"/>
    <x v="7"/>
    <x v="29"/>
    <n v="11769"/>
    <x v="0"/>
    <x v="0"/>
    <n v="16945"/>
    <n v="5176"/>
    <x v="0"/>
    <x v="41"/>
    <x v="0"/>
  </r>
  <r>
    <x v="42"/>
    <x v="1"/>
    <x v="4"/>
    <x v="4"/>
    <n v="9282"/>
    <x v="0"/>
    <x v="1"/>
    <n v="9354"/>
    <n v="72"/>
    <x v="1"/>
    <x v="42"/>
    <x v="0"/>
  </r>
  <r>
    <x v="43"/>
    <x v="1"/>
    <x v="5"/>
    <x v="30"/>
    <n v="3792"/>
    <x v="3"/>
    <x v="1"/>
    <n v="5611"/>
    <n v="1819"/>
    <x v="8"/>
    <x v="43"/>
    <x v="0"/>
  </r>
  <r>
    <x v="44"/>
    <x v="1"/>
    <x v="4"/>
    <x v="4"/>
    <n v="113599"/>
    <x v="2"/>
    <x v="0"/>
    <n v="116529"/>
    <n v="2930"/>
    <x v="8"/>
    <x v="44"/>
    <x v="0"/>
  </r>
  <r>
    <x v="45"/>
    <x v="2"/>
    <x v="5"/>
    <x v="8"/>
    <n v="9475"/>
    <x v="1"/>
    <x v="0"/>
    <n v="10226"/>
    <n v="751"/>
    <x v="9"/>
    <x v="45"/>
    <x v="0"/>
  </r>
  <r>
    <x v="46"/>
    <x v="2"/>
    <x v="4"/>
    <x v="6"/>
    <n v="115497"/>
    <x v="3"/>
    <x v="0"/>
    <n v="159511"/>
    <n v="44014"/>
    <x v="0"/>
    <x v="46"/>
    <x v="0"/>
  </r>
  <r>
    <x v="47"/>
    <x v="2"/>
    <x v="0"/>
    <x v="10"/>
    <n v="3680"/>
    <x v="3"/>
    <x v="0"/>
    <n v="4485"/>
    <n v="805"/>
    <x v="1"/>
    <x v="47"/>
    <x v="0"/>
  </r>
  <r>
    <x v="48"/>
    <x v="2"/>
    <x v="0"/>
    <x v="10"/>
    <n v="39473"/>
    <x v="3"/>
    <x v="0"/>
    <n v="47020"/>
    <n v="7547"/>
    <x v="2"/>
    <x v="48"/>
    <x v="0"/>
  </r>
  <r>
    <x v="49"/>
    <x v="2"/>
    <x v="2"/>
    <x v="31"/>
    <n v="5845"/>
    <x v="3"/>
    <x v="1"/>
    <n v="8469"/>
    <n v="2624"/>
    <x v="0"/>
    <x v="49"/>
    <x v="0"/>
  </r>
  <r>
    <x v="50"/>
    <x v="2"/>
    <x v="7"/>
    <x v="32"/>
    <n v="24602"/>
    <x v="3"/>
    <x v="0"/>
    <n v="25239"/>
    <n v="637"/>
    <x v="1"/>
    <x v="50"/>
    <x v="0"/>
  </r>
  <r>
    <x v="51"/>
    <x v="3"/>
    <x v="3"/>
    <x v="33"/>
    <n v="166210"/>
    <x v="0"/>
    <x v="0"/>
    <n v="176406"/>
    <n v="10196"/>
    <x v="3"/>
    <x v="51"/>
    <x v="0"/>
  </r>
  <r>
    <x v="52"/>
    <x v="3"/>
    <x v="0"/>
    <x v="15"/>
    <n v="34390"/>
    <x v="3"/>
    <x v="0"/>
    <n v="48913"/>
    <n v="14523"/>
    <x v="4"/>
    <x v="52"/>
    <x v="0"/>
  </r>
  <r>
    <x v="53"/>
    <x v="3"/>
    <x v="6"/>
    <x v="14"/>
    <n v="59230"/>
    <x v="1"/>
    <x v="0"/>
    <n v="61409"/>
    <n v="2179"/>
    <x v="8"/>
    <x v="53"/>
    <x v="0"/>
  </r>
  <r>
    <x v="54"/>
    <x v="4"/>
    <x v="3"/>
    <x v="34"/>
    <n v="52232"/>
    <x v="3"/>
    <x v="1"/>
    <n v="56928"/>
    <n v="4696"/>
    <x v="1"/>
    <x v="54"/>
    <x v="0"/>
  </r>
  <r>
    <x v="55"/>
    <x v="4"/>
    <x v="0"/>
    <x v="16"/>
    <n v="24466"/>
    <x v="1"/>
    <x v="0"/>
    <n v="36622"/>
    <n v="12156"/>
    <x v="9"/>
    <x v="55"/>
    <x v="0"/>
  </r>
  <r>
    <x v="56"/>
    <x v="4"/>
    <x v="0"/>
    <x v="16"/>
    <n v="14638"/>
    <x v="1"/>
    <x v="1"/>
    <n v="19074"/>
    <n v="4436"/>
    <x v="9"/>
    <x v="56"/>
    <x v="0"/>
  </r>
  <r>
    <x v="57"/>
    <x v="4"/>
    <x v="2"/>
    <x v="35"/>
    <n v="7601"/>
    <x v="1"/>
    <x v="0"/>
    <n v="8988"/>
    <n v="1387"/>
    <x v="3"/>
    <x v="57"/>
    <x v="0"/>
  </r>
  <r>
    <x v="58"/>
    <x v="4"/>
    <x v="0"/>
    <x v="16"/>
    <n v="49693"/>
    <x v="0"/>
    <x v="0"/>
    <n v="66877"/>
    <n v="17184"/>
    <x v="6"/>
    <x v="58"/>
    <x v="0"/>
  </r>
  <r>
    <x v="59"/>
    <x v="5"/>
    <x v="5"/>
    <x v="36"/>
    <n v="12601"/>
    <x v="2"/>
    <x v="0"/>
    <n v="16076"/>
    <n v="3475"/>
    <x v="8"/>
    <x v="59"/>
    <x v="0"/>
  </r>
  <r>
    <x v="60"/>
    <x v="5"/>
    <x v="4"/>
    <x v="24"/>
    <n v="30304"/>
    <x v="0"/>
    <x v="0"/>
    <n v="34093"/>
    <n v="3789"/>
    <x v="4"/>
    <x v="60"/>
    <x v="0"/>
  </r>
  <r>
    <x v="61"/>
    <x v="5"/>
    <x v="7"/>
    <x v="25"/>
    <n v="8428"/>
    <x v="2"/>
    <x v="0"/>
    <n v="11774"/>
    <n v="3346"/>
    <x v="6"/>
    <x v="61"/>
    <x v="0"/>
  </r>
  <r>
    <x v="62"/>
    <x v="0"/>
    <x v="7"/>
    <x v="28"/>
    <n v="29735"/>
    <x v="2"/>
    <x v="0"/>
    <n v="34474"/>
    <n v="4739"/>
    <x v="0"/>
    <x v="62"/>
    <x v="0"/>
  </r>
  <r>
    <x v="63"/>
    <x v="0"/>
    <x v="5"/>
    <x v="26"/>
    <n v="7126"/>
    <x v="1"/>
    <x v="0"/>
    <n v="10325"/>
    <n v="3199"/>
    <x v="3"/>
    <x v="63"/>
    <x v="0"/>
  </r>
  <r>
    <x v="64"/>
    <x v="0"/>
    <x v="7"/>
    <x v="28"/>
    <n v="22230"/>
    <x v="0"/>
    <x v="0"/>
    <n v="26785"/>
    <n v="4555"/>
    <x v="7"/>
    <x v="64"/>
    <x v="0"/>
  </r>
  <r>
    <x v="65"/>
    <x v="0"/>
    <x v="1"/>
    <x v="1"/>
    <n v="94588"/>
    <x v="0"/>
    <x v="0"/>
    <n v="114895"/>
    <n v="20307"/>
    <x v="4"/>
    <x v="65"/>
    <x v="0"/>
  </r>
  <r>
    <x v="66"/>
    <x v="0"/>
    <x v="5"/>
    <x v="26"/>
    <n v="7094"/>
    <x v="1"/>
    <x v="0"/>
    <n v="7608"/>
    <n v="514"/>
    <x v="2"/>
    <x v="66"/>
    <x v="0"/>
  </r>
  <r>
    <x v="67"/>
    <x v="0"/>
    <x v="5"/>
    <x v="26"/>
    <n v="4502"/>
    <x v="0"/>
    <x v="0"/>
    <n v="5550"/>
    <n v="1048"/>
    <x v="9"/>
    <x v="67"/>
    <x v="0"/>
  </r>
  <r>
    <x v="68"/>
    <x v="0"/>
    <x v="4"/>
    <x v="27"/>
    <n v="42173"/>
    <x v="3"/>
    <x v="0"/>
    <n v="54863"/>
    <n v="12690"/>
    <x v="9"/>
    <x v="68"/>
    <x v="0"/>
  </r>
  <r>
    <x v="69"/>
    <x v="1"/>
    <x v="0"/>
    <x v="5"/>
    <n v="39614"/>
    <x v="2"/>
    <x v="0"/>
    <n v="57295"/>
    <n v="17681"/>
    <x v="2"/>
    <x v="69"/>
    <x v="0"/>
  </r>
  <r>
    <x v="70"/>
    <x v="1"/>
    <x v="2"/>
    <x v="37"/>
    <n v="906"/>
    <x v="1"/>
    <x v="0"/>
    <n v="1270"/>
    <n v="364"/>
    <x v="8"/>
    <x v="70"/>
    <x v="0"/>
  </r>
  <r>
    <x v="71"/>
    <x v="1"/>
    <x v="0"/>
    <x v="5"/>
    <n v="31673"/>
    <x v="2"/>
    <x v="0"/>
    <n v="34383"/>
    <n v="2710"/>
    <x v="1"/>
    <x v="71"/>
    <x v="0"/>
  </r>
  <r>
    <x v="72"/>
    <x v="1"/>
    <x v="7"/>
    <x v="29"/>
    <n v="3584"/>
    <x v="1"/>
    <x v="0"/>
    <n v="4737"/>
    <n v="1153"/>
    <x v="5"/>
    <x v="72"/>
    <x v="0"/>
  </r>
  <r>
    <x v="73"/>
    <x v="1"/>
    <x v="4"/>
    <x v="4"/>
    <n v="9850"/>
    <x v="1"/>
    <x v="0"/>
    <n v="14262"/>
    <n v="4412"/>
    <x v="7"/>
    <x v="73"/>
    <x v="0"/>
  </r>
  <r>
    <x v="74"/>
    <x v="1"/>
    <x v="3"/>
    <x v="3"/>
    <n v="34935"/>
    <x v="0"/>
    <x v="0"/>
    <n v="49430"/>
    <n v="14495"/>
    <x v="2"/>
    <x v="74"/>
    <x v="0"/>
  </r>
  <r>
    <x v="75"/>
    <x v="1"/>
    <x v="4"/>
    <x v="4"/>
    <n v="15455"/>
    <x v="2"/>
    <x v="1"/>
    <n v="19755"/>
    <n v="4300"/>
    <x v="7"/>
    <x v="75"/>
    <x v="0"/>
  </r>
  <r>
    <x v="76"/>
    <x v="1"/>
    <x v="7"/>
    <x v="29"/>
    <n v="25821"/>
    <x v="1"/>
    <x v="0"/>
    <n v="38525"/>
    <n v="12704"/>
    <x v="1"/>
    <x v="76"/>
    <x v="0"/>
  </r>
  <r>
    <x v="77"/>
    <x v="2"/>
    <x v="2"/>
    <x v="31"/>
    <n v="891"/>
    <x v="1"/>
    <x v="0"/>
    <n v="1259"/>
    <n v="368"/>
    <x v="8"/>
    <x v="77"/>
    <x v="0"/>
  </r>
  <r>
    <x v="78"/>
    <x v="2"/>
    <x v="1"/>
    <x v="38"/>
    <n v="33073"/>
    <x v="0"/>
    <x v="1"/>
    <n v="36234"/>
    <n v="3161"/>
    <x v="7"/>
    <x v="78"/>
    <x v="0"/>
  </r>
  <r>
    <x v="79"/>
    <x v="2"/>
    <x v="7"/>
    <x v="32"/>
    <n v="28721"/>
    <x v="0"/>
    <x v="0"/>
    <n v="29340"/>
    <n v="619"/>
    <x v="5"/>
    <x v="79"/>
    <x v="0"/>
  </r>
  <r>
    <x v="80"/>
    <x v="3"/>
    <x v="4"/>
    <x v="12"/>
    <n v="40377"/>
    <x v="2"/>
    <x v="0"/>
    <n v="54482"/>
    <n v="14105"/>
    <x v="3"/>
    <x v="80"/>
    <x v="0"/>
  </r>
  <r>
    <x v="81"/>
    <x v="3"/>
    <x v="1"/>
    <x v="11"/>
    <n v="118342"/>
    <x v="1"/>
    <x v="1"/>
    <n v="156028"/>
    <n v="37686"/>
    <x v="9"/>
    <x v="81"/>
    <x v="0"/>
  </r>
  <r>
    <x v="82"/>
    <x v="3"/>
    <x v="3"/>
    <x v="33"/>
    <n v="183347"/>
    <x v="0"/>
    <x v="0"/>
    <n v="228277"/>
    <n v="44930"/>
    <x v="0"/>
    <x v="82"/>
    <x v="0"/>
  </r>
  <r>
    <x v="83"/>
    <x v="3"/>
    <x v="7"/>
    <x v="39"/>
    <n v="28106"/>
    <x v="0"/>
    <x v="1"/>
    <n v="32269"/>
    <n v="4163"/>
    <x v="0"/>
    <x v="83"/>
    <x v="0"/>
  </r>
  <r>
    <x v="84"/>
    <x v="3"/>
    <x v="2"/>
    <x v="40"/>
    <n v="6193"/>
    <x v="1"/>
    <x v="0"/>
    <n v="6435"/>
    <n v="242"/>
    <x v="7"/>
    <x v="84"/>
    <x v="0"/>
  </r>
  <r>
    <x v="85"/>
    <x v="3"/>
    <x v="2"/>
    <x v="40"/>
    <n v="4335"/>
    <x v="2"/>
    <x v="0"/>
    <n v="6109"/>
    <n v="1774"/>
    <x v="2"/>
    <x v="85"/>
    <x v="0"/>
  </r>
  <r>
    <x v="86"/>
    <x v="3"/>
    <x v="5"/>
    <x v="13"/>
    <n v="13459"/>
    <x v="2"/>
    <x v="0"/>
    <n v="19814"/>
    <n v="6355"/>
    <x v="9"/>
    <x v="86"/>
    <x v="0"/>
  </r>
  <r>
    <x v="87"/>
    <x v="3"/>
    <x v="1"/>
    <x v="11"/>
    <n v="67353"/>
    <x v="2"/>
    <x v="1"/>
    <n v="98224"/>
    <n v="30871"/>
    <x v="9"/>
    <x v="87"/>
    <x v="0"/>
  </r>
  <r>
    <x v="88"/>
    <x v="4"/>
    <x v="2"/>
    <x v="35"/>
    <n v="1062"/>
    <x v="0"/>
    <x v="1"/>
    <n v="1210"/>
    <n v="148"/>
    <x v="4"/>
    <x v="88"/>
    <x v="0"/>
  </r>
  <r>
    <x v="89"/>
    <x v="4"/>
    <x v="3"/>
    <x v="34"/>
    <n v="38094"/>
    <x v="1"/>
    <x v="0"/>
    <n v="52285"/>
    <n v="14191"/>
    <x v="3"/>
    <x v="89"/>
    <x v="0"/>
  </r>
  <r>
    <x v="90"/>
    <x v="4"/>
    <x v="6"/>
    <x v="18"/>
    <n v="67421"/>
    <x v="0"/>
    <x v="0"/>
    <n v="89733"/>
    <n v="22312"/>
    <x v="4"/>
    <x v="90"/>
    <x v="0"/>
  </r>
  <r>
    <x v="91"/>
    <x v="4"/>
    <x v="0"/>
    <x v="16"/>
    <n v="25227"/>
    <x v="2"/>
    <x v="1"/>
    <n v="30669"/>
    <n v="5442"/>
    <x v="8"/>
    <x v="91"/>
    <x v="0"/>
  </r>
  <r>
    <x v="92"/>
    <x v="4"/>
    <x v="5"/>
    <x v="17"/>
    <n v="1870"/>
    <x v="1"/>
    <x v="0"/>
    <n v="2283"/>
    <n v="413"/>
    <x v="8"/>
    <x v="92"/>
    <x v="0"/>
  </r>
  <r>
    <x v="93"/>
    <x v="4"/>
    <x v="2"/>
    <x v="35"/>
    <n v="2908"/>
    <x v="0"/>
    <x v="1"/>
    <n v="3183"/>
    <n v="275"/>
    <x v="1"/>
    <x v="93"/>
    <x v="0"/>
  </r>
  <r>
    <x v="94"/>
    <x v="5"/>
    <x v="4"/>
    <x v="24"/>
    <n v="19311"/>
    <x v="3"/>
    <x v="0"/>
    <n v="25888"/>
    <n v="6577"/>
    <x v="0"/>
    <x v="94"/>
    <x v="0"/>
  </r>
  <r>
    <x v="95"/>
    <x v="5"/>
    <x v="6"/>
    <x v="23"/>
    <n v="9677"/>
    <x v="1"/>
    <x v="1"/>
    <n v="12460"/>
    <n v="2783"/>
    <x v="4"/>
    <x v="95"/>
    <x v="0"/>
  </r>
  <r>
    <x v="96"/>
    <x v="5"/>
    <x v="2"/>
    <x v="22"/>
    <n v="7730"/>
    <x v="2"/>
    <x v="0"/>
    <n v="10127"/>
    <n v="2397"/>
    <x v="8"/>
    <x v="96"/>
    <x v="0"/>
  </r>
  <r>
    <x v="97"/>
    <x v="5"/>
    <x v="2"/>
    <x v="22"/>
    <n v="6512"/>
    <x v="0"/>
    <x v="0"/>
    <n v="9195"/>
    <n v="2683"/>
    <x v="0"/>
    <x v="97"/>
    <x v="0"/>
  </r>
  <r>
    <x v="98"/>
    <x v="5"/>
    <x v="2"/>
    <x v="22"/>
    <n v="3347"/>
    <x v="0"/>
    <x v="0"/>
    <n v="4413"/>
    <n v="1066"/>
    <x v="4"/>
    <x v="98"/>
    <x v="0"/>
  </r>
  <r>
    <x v="99"/>
    <x v="5"/>
    <x v="3"/>
    <x v="41"/>
    <n v="90038"/>
    <x v="3"/>
    <x v="0"/>
    <n v="128420"/>
    <n v="38382"/>
    <x v="2"/>
    <x v="99"/>
    <x v="0"/>
  </r>
  <r>
    <x v="100"/>
    <x v="5"/>
    <x v="0"/>
    <x v="42"/>
    <n v="12921"/>
    <x v="3"/>
    <x v="0"/>
    <n v="14131"/>
    <n v="1210"/>
    <x v="6"/>
    <x v="100"/>
    <x v="0"/>
  </r>
  <r>
    <x v="101"/>
    <x v="0"/>
    <x v="6"/>
    <x v="43"/>
    <n v="28267"/>
    <x v="3"/>
    <x v="0"/>
    <n v="42038"/>
    <n v="13771"/>
    <x v="1"/>
    <x v="101"/>
    <x v="0"/>
  </r>
  <r>
    <x v="102"/>
    <x v="0"/>
    <x v="3"/>
    <x v="44"/>
    <n v="162871"/>
    <x v="3"/>
    <x v="0"/>
    <n v="162953"/>
    <n v="82"/>
    <x v="4"/>
    <x v="102"/>
    <x v="0"/>
  </r>
  <r>
    <x v="103"/>
    <x v="0"/>
    <x v="6"/>
    <x v="43"/>
    <n v="79352"/>
    <x v="3"/>
    <x v="1"/>
    <n v="106334"/>
    <n v="26982"/>
    <x v="9"/>
    <x v="103"/>
    <x v="0"/>
  </r>
  <r>
    <x v="104"/>
    <x v="0"/>
    <x v="1"/>
    <x v="1"/>
    <n v="34617"/>
    <x v="0"/>
    <x v="0"/>
    <n v="36348"/>
    <n v="1731"/>
    <x v="6"/>
    <x v="104"/>
    <x v="0"/>
  </r>
  <r>
    <x v="105"/>
    <x v="0"/>
    <x v="7"/>
    <x v="28"/>
    <n v="24738"/>
    <x v="2"/>
    <x v="0"/>
    <n v="30755"/>
    <n v="6017"/>
    <x v="2"/>
    <x v="105"/>
    <x v="0"/>
  </r>
  <r>
    <x v="106"/>
    <x v="1"/>
    <x v="5"/>
    <x v="30"/>
    <n v="9484"/>
    <x v="2"/>
    <x v="0"/>
    <n v="13157"/>
    <n v="3673"/>
    <x v="5"/>
    <x v="106"/>
    <x v="0"/>
  </r>
  <r>
    <x v="107"/>
    <x v="1"/>
    <x v="6"/>
    <x v="45"/>
    <n v="24385"/>
    <x v="3"/>
    <x v="0"/>
    <n v="36317"/>
    <n v="11932"/>
    <x v="2"/>
    <x v="107"/>
    <x v="0"/>
  </r>
  <r>
    <x v="108"/>
    <x v="1"/>
    <x v="6"/>
    <x v="45"/>
    <n v="37029"/>
    <x v="2"/>
    <x v="0"/>
    <n v="47723"/>
    <n v="10694"/>
    <x v="0"/>
    <x v="108"/>
    <x v="0"/>
  </r>
  <r>
    <x v="109"/>
    <x v="1"/>
    <x v="2"/>
    <x v="37"/>
    <n v="3594"/>
    <x v="2"/>
    <x v="1"/>
    <n v="4742"/>
    <n v="1148"/>
    <x v="3"/>
    <x v="109"/>
    <x v="0"/>
  </r>
  <r>
    <x v="110"/>
    <x v="1"/>
    <x v="5"/>
    <x v="30"/>
    <n v="6426"/>
    <x v="0"/>
    <x v="0"/>
    <n v="7682"/>
    <n v="1256"/>
    <x v="0"/>
    <x v="110"/>
    <x v="0"/>
  </r>
  <r>
    <x v="111"/>
    <x v="1"/>
    <x v="5"/>
    <x v="30"/>
    <n v="14667"/>
    <x v="2"/>
    <x v="1"/>
    <n v="19158"/>
    <n v="4491"/>
    <x v="2"/>
    <x v="111"/>
    <x v="0"/>
  </r>
  <r>
    <x v="112"/>
    <x v="1"/>
    <x v="0"/>
    <x v="5"/>
    <n v="2546"/>
    <x v="3"/>
    <x v="0"/>
    <n v="3181"/>
    <n v="635"/>
    <x v="3"/>
    <x v="112"/>
    <x v="0"/>
  </r>
  <r>
    <x v="113"/>
    <x v="1"/>
    <x v="7"/>
    <x v="29"/>
    <n v="23440"/>
    <x v="0"/>
    <x v="0"/>
    <n v="29981"/>
    <n v="6541"/>
    <x v="5"/>
    <x v="113"/>
    <x v="0"/>
  </r>
  <r>
    <x v="114"/>
    <x v="2"/>
    <x v="6"/>
    <x v="9"/>
    <n v="64488"/>
    <x v="1"/>
    <x v="0"/>
    <n v="65808"/>
    <n v="1320"/>
    <x v="6"/>
    <x v="114"/>
    <x v="0"/>
  </r>
  <r>
    <x v="115"/>
    <x v="2"/>
    <x v="6"/>
    <x v="9"/>
    <n v="61403"/>
    <x v="1"/>
    <x v="0"/>
    <n v="72218"/>
    <n v="10815"/>
    <x v="5"/>
    <x v="115"/>
    <x v="0"/>
  </r>
  <r>
    <x v="116"/>
    <x v="2"/>
    <x v="5"/>
    <x v="8"/>
    <n v="5641"/>
    <x v="3"/>
    <x v="0"/>
    <n v="7856"/>
    <n v="2215"/>
    <x v="5"/>
    <x v="116"/>
    <x v="0"/>
  </r>
  <r>
    <x v="117"/>
    <x v="2"/>
    <x v="2"/>
    <x v="31"/>
    <n v="4039"/>
    <x v="0"/>
    <x v="0"/>
    <n v="5221"/>
    <n v="1182"/>
    <x v="7"/>
    <x v="117"/>
    <x v="0"/>
  </r>
  <r>
    <x v="118"/>
    <x v="2"/>
    <x v="5"/>
    <x v="8"/>
    <n v="5075"/>
    <x v="2"/>
    <x v="0"/>
    <n v="7135"/>
    <n v="2060"/>
    <x v="8"/>
    <x v="118"/>
    <x v="0"/>
  </r>
  <r>
    <x v="119"/>
    <x v="3"/>
    <x v="7"/>
    <x v="39"/>
    <n v="22563"/>
    <x v="2"/>
    <x v="0"/>
    <n v="26069"/>
    <n v="3506"/>
    <x v="1"/>
    <x v="119"/>
    <x v="0"/>
  </r>
  <r>
    <x v="120"/>
    <x v="3"/>
    <x v="2"/>
    <x v="40"/>
    <n v="2548"/>
    <x v="3"/>
    <x v="0"/>
    <n v="2721"/>
    <n v="173"/>
    <x v="5"/>
    <x v="120"/>
    <x v="0"/>
  </r>
  <r>
    <x v="121"/>
    <x v="3"/>
    <x v="7"/>
    <x v="39"/>
    <n v="21568"/>
    <x v="3"/>
    <x v="0"/>
    <n v="31566"/>
    <n v="9998"/>
    <x v="8"/>
    <x v="121"/>
    <x v="0"/>
  </r>
  <r>
    <x v="122"/>
    <x v="3"/>
    <x v="1"/>
    <x v="11"/>
    <n v="148037"/>
    <x v="0"/>
    <x v="0"/>
    <n v="180746"/>
    <n v="32709"/>
    <x v="2"/>
    <x v="122"/>
    <x v="0"/>
  </r>
  <r>
    <x v="123"/>
    <x v="3"/>
    <x v="3"/>
    <x v="33"/>
    <n v="120233"/>
    <x v="1"/>
    <x v="1"/>
    <n v="178032"/>
    <n v="57799"/>
    <x v="7"/>
    <x v="123"/>
    <x v="0"/>
  </r>
  <r>
    <x v="124"/>
    <x v="4"/>
    <x v="1"/>
    <x v="19"/>
    <n v="89269"/>
    <x v="0"/>
    <x v="0"/>
    <n v="124380"/>
    <n v="35111"/>
    <x v="1"/>
    <x v="124"/>
    <x v="0"/>
  </r>
  <r>
    <x v="125"/>
    <x v="4"/>
    <x v="7"/>
    <x v="46"/>
    <n v="4754"/>
    <x v="3"/>
    <x v="0"/>
    <n v="6549"/>
    <n v="1795"/>
    <x v="7"/>
    <x v="125"/>
    <x v="0"/>
  </r>
  <r>
    <x v="126"/>
    <x v="4"/>
    <x v="3"/>
    <x v="34"/>
    <n v="24246"/>
    <x v="1"/>
    <x v="0"/>
    <n v="25272"/>
    <n v="1026"/>
    <x v="1"/>
    <x v="126"/>
    <x v="0"/>
  </r>
  <r>
    <x v="127"/>
    <x v="5"/>
    <x v="3"/>
    <x v="41"/>
    <n v="191034"/>
    <x v="1"/>
    <x v="1"/>
    <n v="222680"/>
    <n v="31646"/>
    <x v="9"/>
    <x v="127"/>
    <x v="0"/>
  </r>
  <r>
    <x v="128"/>
    <x v="5"/>
    <x v="2"/>
    <x v="22"/>
    <n v="4729"/>
    <x v="2"/>
    <x v="0"/>
    <n v="5070"/>
    <n v="341"/>
    <x v="0"/>
    <x v="128"/>
    <x v="0"/>
  </r>
  <r>
    <x v="129"/>
    <x v="5"/>
    <x v="1"/>
    <x v="21"/>
    <n v="88877"/>
    <x v="1"/>
    <x v="0"/>
    <n v="116795"/>
    <n v="27918"/>
    <x v="1"/>
    <x v="129"/>
    <x v="0"/>
  </r>
  <r>
    <x v="130"/>
    <x v="5"/>
    <x v="0"/>
    <x v="42"/>
    <n v="6400"/>
    <x v="1"/>
    <x v="1"/>
    <n v="6400"/>
    <n v="0"/>
    <x v="4"/>
    <x v="130"/>
    <x v="0"/>
  </r>
  <r>
    <x v="131"/>
    <x v="5"/>
    <x v="2"/>
    <x v="22"/>
    <n v="1348"/>
    <x v="2"/>
    <x v="0"/>
    <n v="1667"/>
    <n v="319"/>
    <x v="7"/>
    <x v="131"/>
    <x v="0"/>
  </r>
  <r>
    <x v="132"/>
    <x v="0"/>
    <x v="4"/>
    <x v="27"/>
    <n v="68402"/>
    <x v="3"/>
    <x v="1"/>
    <n v="102011"/>
    <n v="33609"/>
    <x v="5"/>
    <x v="132"/>
    <x v="0"/>
  </r>
  <r>
    <x v="133"/>
    <x v="0"/>
    <x v="3"/>
    <x v="44"/>
    <n v="182532"/>
    <x v="3"/>
    <x v="0"/>
    <n v="238858"/>
    <n v="56326"/>
    <x v="3"/>
    <x v="133"/>
    <x v="0"/>
  </r>
  <r>
    <x v="134"/>
    <x v="0"/>
    <x v="2"/>
    <x v="2"/>
    <n v="1898"/>
    <x v="3"/>
    <x v="0"/>
    <n v="2383"/>
    <n v="485"/>
    <x v="6"/>
    <x v="134"/>
    <x v="0"/>
  </r>
  <r>
    <x v="135"/>
    <x v="0"/>
    <x v="7"/>
    <x v="28"/>
    <n v="24873"/>
    <x v="2"/>
    <x v="0"/>
    <n v="26117"/>
    <n v="1244"/>
    <x v="5"/>
    <x v="135"/>
    <x v="0"/>
  </r>
  <r>
    <x v="136"/>
    <x v="0"/>
    <x v="4"/>
    <x v="27"/>
    <n v="96442"/>
    <x v="2"/>
    <x v="0"/>
    <n v="135012"/>
    <n v="38570"/>
    <x v="3"/>
    <x v="136"/>
    <x v="0"/>
  </r>
  <r>
    <x v="137"/>
    <x v="1"/>
    <x v="3"/>
    <x v="3"/>
    <n v="41490"/>
    <x v="0"/>
    <x v="0"/>
    <n v="53195"/>
    <n v="11705"/>
    <x v="1"/>
    <x v="137"/>
    <x v="0"/>
  </r>
  <r>
    <x v="138"/>
    <x v="1"/>
    <x v="6"/>
    <x v="45"/>
    <n v="51494"/>
    <x v="2"/>
    <x v="0"/>
    <n v="76283"/>
    <n v="24789"/>
    <x v="7"/>
    <x v="138"/>
    <x v="0"/>
  </r>
  <r>
    <x v="139"/>
    <x v="1"/>
    <x v="5"/>
    <x v="30"/>
    <n v="9202"/>
    <x v="3"/>
    <x v="0"/>
    <n v="13140"/>
    <n v="3938"/>
    <x v="9"/>
    <x v="139"/>
    <x v="0"/>
  </r>
  <r>
    <x v="140"/>
    <x v="1"/>
    <x v="0"/>
    <x v="5"/>
    <n v="13435"/>
    <x v="0"/>
    <x v="0"/>
    <n v="17841"/>
    <n v="4406"/>
    <x v="3"/>
    <x v="140"/>
    <x v="0"/>
  </r>
  <r>
    <x v="141"/>
    <x v="1"/>
    <x v="7"/>
    <x v="29"/>
    <n v="15908"/>
    <x v="2"/>
    <x v="0"/>
    <n v="16451"/>
    <n v="543"/>
    <x v="6"/>
    <x v="141"/>
    <x v="0"/>
  </r>
  <r>
    <x v="142"/>
    <x v="2"/>
    <x v="1"/>
    <x v="38"/>
    <n v="142901"/>
    <x v="0"/>
    <x v="0"/>
    <n v="198304"/>
    <n v="55403"/>
    <x v="2"/>
    <x v="142"/>
    <x v="0"/>
  </r>
  <r>
    <x v="143"/>
    <x v="2"/>
    <x v="5"/>
    <x v="8"/>
    <n v="10576"/>
    <x v="1"/>
    <x v="0"/>
    <n v="13841"/>
    <n v="3265"/>
    <x v="7"/>
    <x v="143"/>
    <x v="0"/>
  </r>
  <r>
    <x v="144"/>
    <x v="2"/>
    <x v="2"/>
    <x v="31"/>
    <n v="1290"/>
    <x v="2"/>
    <x v="0"/>
    <n v="1719"/>
    <n v="429"/>
    <x v="0"/>
    <x v="144"/>
    <x v="0"/>
  </r>
  <r>
    <x v="145"/>
    <x v="2"/>
    <x v="0"/>
    <x v="10"/>
    <n v="13403"/>
    <x v="2"/>
    <x v="0"/>
    <n v="18283"/>
    <n v="4880"/>
    <x v="7"/>
    <x v="145"/>
    <x v="0"/>
  </r>
  <r>
    <x v="146"/>
    <x v="2"/>
    <x v="7"/>
    <x v="32"/>
    <n v="6751"/>
    <x v="1"/>
    <x v="0"/>
    <n v="6877"/>
    <n v="126"/>
    <x v="2"/>
    <x v="146"/>
    <x v="0"/>
  </r>
  <r>
    <x v="147"/>
    <x v="2"/>
    <x v="6"/>
    <x v="9"/>
    <n v="27815"/>
    <x v="2"/>
    <x v="0"/>
    <n v="32282"/>
    <n v="4467"/>
    <x v="3"/>
    <x v="147"/>
    <x v="0"/>
  </r>
  <r>
    <x v="148"/>
    <x v="2"/>
    <x v="2"/>
    <x v="31"/>
    <n v="2103"/>
    <x v="0"/>
    <x v="0"/>
    <n v="2368"/>
    <n v="265"/>
    <x v="0"/>
    <x v="148"/>
    <x v="0"/>
  </r>
  <r>
    <x v="149"/>
    <x v="2"/>
    <x v="4"/>
    <x v="6"/>
    <n v="111671"/>
    <x v="3"/>
    <x v="0"/>
    <n v="141182"/>
    <n v="29511"/>
    <x v="1"/>
    <x v="149"/>
    <x v="0"/>
  </r>
  <r>
    <x v="150"/>
    <x v="3"/>
    <x v="0"/>
    <x v="15"/>
    <n v="15339"/>
    <x v="1"/>
    <x v="0"/>
    <n v="15594"/>
    <n v="255"/>
    <x v="8"/>
    <x v="150"/>
    <x v="0"/>
  </r>
  <r>
    <x v="151"/>
    <x v="3"/>
    <x v="0"/>
    <x v="15"/>
    <n v="24328"/>
    <x v="2"/>
    <x v="0"/>
    <n v="26582"/>
    <n v="2254"/>
    <x v="0"/>
    <x v="151"/>
    <x v="0"/>
  </r>
  <r>
    <x v="152"/>
    <x v="3"/>
    <x v="3"/>
    <x v="33"/>
    <n v="141294"/>
    <x v="3"/>
    <x v="0"/>
    <n v="166169"/>
    <n v="24875"/>
    <x v="6"/>
    <x v="152"/>
    <x v="0"/>
  </r>
  <r>
    <x v="153"/>
    <x v="3"/>
    <x v="4"/>
    <x v="12"/>
    <n v="119553"/>
    <x v="3"/>
    <x v="1"/>
    <n v="123789"/>
    <n v="4236"/>
    <x v="5"/>
    <x v="153"/>
    <x v="0"/>
  </r>
  <r>
    <x v="154"/>
    <x v="3"/>
    <x v="0"/>
    <x v="15"/>
    <n v="34683"/>
    <x v="0"/>
    <x v="0"/>
    <n v="38681"/>
    <n v="3998"/>
    <x v="0"/>
    <x v="154"/>
    <x v="0"/>
  </r>
  <r>
    <x v="155"/>
    <x v="3"/>
    <x v="7"/>
    <x v="39"/>
    <n v="15793"/>
    <x v="3"/>
    <x v="0"/>
    <n v="21346"/>
    <n v="5553"/>
    <x v="4"/>
    <x v="155"/>
    <x v="0"/>
  </r>
  <r>
    <x v="156"/>
    <x v="3"/>
    <x v="2"/>
    <x v="40"/>
    <n v="7489"/>
    <x v="0"/>
    <x v="0"/>
    <n v="9428"/>
    <n v="1939"/>
    <x v="1"/>
    <x v="156"/>
    <x v="0"/>
  </r>
  <r>
    <x v="157"/>
    <x v="3"/>
    <x v="0"/>
    <x v="15"/>
    <n v="40192"/>
    <x v="1"/>
    <x v="0"/>
    <n v="49657"/>
    <n v="9465"/>
    <x v="2"/>
    <x v="157"/>
    <x v="0"/>
  </r>
  <r>
    <x v="158"/>
    <x v="4"/>
    <x v="2"/>
    <x v="35"/>
    <n v="3240"/>
    <x v="3"/>
    <x v="0"/>
    <n v="4679"/>
    <n v="1439"/>
    <x v="9"/>
    <x v="158"/>
    <x v="0"/>
  </r>
  <r>
    <x v="159"/>
    <x v="4"/>
    <x v="6"/>
    <x v="18"/>
    <n v="35882"/>
    <x v="1"/>
    <x v="0"/>
    <n v="44737"/>
    <n v="8855"/>
    <x v="4"/>
    <x v="159"/>
    <x v="0"/>
  </r>
  <r>
    <x v="160"/>
    <x v="4"/>
    <x v="0"/>
    <x v="16"/>
    <n v="38138"/>
    <x v="0"/>
    <x v="0"/>
    <n v="47268"/>
    <n v="9130"/>
    <x v="4"/>
    <x v="160"/>
    <x v="0"/>
  </r>
  <r>
    <x v="161"/>
    <x v="4"/>
    <x v="3"/>
    <x v="34"/>
    <n v="143065"/>
    <x v="2"/>
    <x v="0"/>
    <n v="159177"/>
    <n v="16112"/>
    <x v="5"/>
    <x v="161"/>
    <x v="0"/>
  </r>
  <r>
    <x v="162"/>
    <x v="4"/>
    <x v="6"/>
    <x v="18"/>
    <n v="12255"/>
    <x v="3"/>
    <x v="1"/>
    <n v="12416"/>
    <n v="161"/>
    <x v="1"/>
    <x v="162"/>
    <x v="0"/>
  </r>
  <r>
    <x v="163"/>
    <x v="5"/>
    <x v="6"/>
    <x v="23"/>
    <n v="77416"/>
    <x v="2"/>
    <x v="0"/>
    <n v="96080"/>
    <n v="18664"/>
    <x v="8"/>
    <x v="163"/>
    <x v="0"/>
  </r>
  <r>
    <x v="164"/>
    <x v="5"/>
    <x v="1"/>
    <x v="21"/>
    <n v="40299"/>
    <x v="0"/>
    <x v="0"/>
    <n v="49124"/>
    <n v="8825"/>
    <x v="0"/>
    <x v="164"/>
    <x v="0"/>
  </r>
  <r>
    <x v="165"/>
    <x v="5"/>
    <x v="4"/>
    <x v="24"/>
    <n v="12592"/>
    <x v="1"/>
    <x v="0"/>
    <n v="14092"/>
    <n v="1500"/>
    <x v="8"/>
    <x v="165"/>
    <x v="0"/>
  </r>
  <r>
    <x v="166"/>
    <x v="5"/>
    <x v="6"/>
    <x v="23"/>
    <n v="6952"/>
    <x v="1"/>
    <x v="0"/>
    <n v="9987"/>
    <n v="3035"/>
    <x v="7"/>
    <x v="166"/>
    <x v="0"/>
  </r>
  <r>
    <x v="167"/>
    <x v="5"/>
    <x v="3"/>
    <x v="41"/>
    <n v="57341"/>
    <x v="0"/>
    <x v="1"/>
    <n v="65443"/>
    <n v="8102"/>
    <x v="0"/>
    <x v="167"/>
    <x v="0"/>
  </r>
  <r>
    <x v="168"/>
    <x v="5"/>
    <x v="1"/>
    <x v="21"/>
    <n v="114285"/>
    <x v="1"/>
    <x v="0"/>
    <n v="141639"/>
    <n v="27354"/>
    <x v="5"/>
    <x v="168"/>
    <x v="0"/>
  </r>
  <r>
    <x v="169"/>
    <x v="5"/>
    <x v="2"/>
    <x v="22"/>
    <n v="4554"/>
    <x v="0"/>
    <x v="0"/>
    <n v="6160"/>
    <n v="1606"/>
    <x v="6"/>
    <x v="169"/>
    <x v="0"/>
  </r>
  <r>
    <x v="170"/>
    <x v="5"/>
    <x v="5"/>
    <x v="36"/>
    <n v="13782"/>
    <x v="3"/>
    <x v="1"/>
    <n v="17582"/>
    <n v="3800"/>
    <x v="5"/>
    <x v="170"/>
    <x v="0"/>
  </r>
  <r>
    <x v="171"/>
    <x v="0"/>
    <x v="0"/>
    <x v="0"/>
    <n v="5538"/>
    <x v="2"/>
    <x v="0"/>
    <n v="6498"/>
    <n v="960"/>
    <x v="4"/>
    <x v="171"/>
    <x v="0"/>
  </r>
  <r>
    <x v="172"/>
    <x v="0"/>
    <x v="1"/>
    <x v="1"/>
    <n v="146575"/>
    <x v="3"/>
    <x v="0"/>
    <n v="163470"/>
    <n v="16895"/>
    <x v="2"/>
    <x v="172"/>
    <x v="0"/>
  </r>
  <r>
    <x v="173"/>
    <x v="0"/>
    <x v="6"/>
    <x v="43"/>
    <n v="35815"/>
    <x v="2"/>
    <x v="0"/>
    <n v="48321"/>
    <n v="12506"/>
    <x v="7"/>
    <x v="173"/>
    <x v="0"/>
  </r>
  <r>
    <x v="174"/>
    <x v="0"/>
    <x v="6"/>
    <x v="43"/>
    <n v="40428"/>
    <x v="0"/>
    <x v="0"/>
    <n v="46047"/>
    <n v="5619"/>
    <x v="7"/>
    <x v="174"/>
    <x v="0"/>
  </r>
  <r>
    <x v="175"/>
    <x v="0"/>
    <x v="4"/>
    <x v="27"/>
    <n v="69927"/>
    <x v="2"/>
    <x v="0"/>
    <n v="70586"/>
    <n v="659"/>
    <x v="7"/>
    <x v="175"/>
    <x v="0"/>
  </r>
  <r>
    <x v="176"/>
    <x v="0"/>
    <x v="2"/>
    <x v="2"/>
    <n v="3607"/>
    <x v="1"/>
    <x v="0"/>
    <n v="3940"/>
    <n v="333"/>
    <x v="7"/>
    <x v="176"/>
    <x v="0"/>
  </r>
  <r>
    <x v="177"/>
    <x v="0"/>
    <x v="5"/>
    <x v="26"/>
    <n v="1425"/>
    <x v="0"/>
    <x v="0"/>
    <n v="2073"/>
    <n v="648"/>
    <x v="1"/>
    <x v="177"/>
    <x v="0"/>
  </r>
  <r>
    <x v="178"/>
    <x v="0"/>
    <x v="6"/>
    <x v="43"/>
    <n v="49688"/>
    <x v="2"/>
    <x v="0"/>
    <n v="67719"/>
    <n v="18031"/>
    <x v="7"/>
    <x v="178"/>
    <x v="0"/>
  </r>
  <r>
    <x v="179"/>
    <x v="1"/>
    <x v="4"/>
    <x v="4"/>
    <n v="99541"/>
    <x v="2"/>
    <x v="0"/>
    <n v="145951"/>
    <n v="46410"/>
    <x v="1"/>
    <x v="179"/>
    <x v="0"/>
  </r>
  <r>
    <x v="180"/>
    <x v="1"/>
    <x v="7"/>
    <x v="29"/>
    <n v="8326"/>
    <x v="3"/>
    <x v="0"/>
    <n v="12324"/>
    <n v="3998"/>
    <x v="7"/>
    <x v="180"/>
    <x v="0"/>
  </r>
  <r>
    <x v="181"/>
    <x v="1"/>
    <x v="7"/>
    <x v="29"/>
    <n v="5802"/>
    <x v="0"/>
    <x v="0"/>
    <n v="8700"/>
    <n v="2898"/>
    <x v="1"/>
    <x v="181"/>
    <x v="0"/>
  </r>
  <r>
    <x v="182"/>
    <x v="1"/>
    <x v="6"/>
    <x v="45"/>
    <n v="40949"/>
    <x v="0"/>
    <x v="1"/>
    <n v="48355"/>
    <n v="7406"/>
    <x v="7"/>
    <x v="182"/>
    <x v="0"/>
  </r>
  <r>
    <x v="183"/>
    <x v="1"/>
    <x v="7"/>
    <x v="29"/>
    <n v="21626"/>
    <x v="0"/>
    <x v="0"/>
    <n v="28771"/>
    <n v="7145"/>
    <x v="6"/>
    <x v="183"/>
    <x v="0"/>
  </r>
  <r>
    <x v="184"/>
    <x v="1"/>
    <x v="6"/>
    <x v="45"/>
    <n v="62659"/>
    <x v="0"/>
    <x v="0"/>
    <n v="62937"/>
    <n v="278"/>
    <x v="9"/>
    <x v="184"/>
    <x v="0"/>
  </r>
  <r>
    <x v="185"/>
    <x v="1"/>
    <x v="4"/>
    <x v="4"/>
    <n v="12678"/>
    <x v="0"/>
    <x v="1"/>
    <n v="16352"/>
    <n v="3674"/>
    <x v="9"/>
    <x v="185"/>
    <x v="0"/>
  </r>
  <r>
    <x v="186"/>
    <x v="2"/>
    <x v="3"/>
    <x v="7"/>
    <n v="57134"/>
    <x v="0"/>
    <x v="0"/>
    <n v="64504"/>
    <n v="7370"/>
    <x v="6"/>
    <x v="186"/>
    <x v="0"/>
  </r>
  <r>
    <x v="187"/>
    <x v="2"/>
    <x v="2"/>
    <x v="31"/>
    <n v="5663"/>
    <x v="1"/>
    <x v="0"/>
    <n v="6157"/>
    <n v="494"/>
    <x v="4"/>
    <x v="187"/>
    <x v="0"/>
  </r>
  <r>
    <x v="188"/>
    <x v="2"/>
    <x v="6"/>
    <x v="9"/>
    <n v="29150"/>
    <x v="2"/>
    <x v="1"/>
    <n v="39126"/>
    <n v="9976"/>
    <x v="2"/>
    <x v="188"/>
    <x v="0"/>
  </r>
  <r>
    <x v="189"/>
    <x v="3"/>
    <x v="2"/>
    <x v="40"/>
    <n v="998"/>
    <x v="0"/>
    <x v="0"/>
    <n v="1473"/>
    <n v="475"/>
    <x v="2"/>
    <x v="189"/>
    <x v="0"/>
  </r>
  <r>
    <x v="190"/>
    <x v="3"/>
    <x v="6"/>
    <x v="14"/>
    <n v="35762"/>
    <x v="2"/>
    <x v="0"/>
    <n v="42016"/>
    <n v="6254"/>
    <x v="9"/>
    <x v="190"/>
    <x v="0"/>
  </r>
  <r>
    <x v="191"/>
    <x v="3"/>
    <x v="2"/>
    <x v="40"/>
    <n v="2171"/>
    <x v="2"/>
    <x v="0"/>
    <n v="2525"/>
    <n v="354"/>
    <x v="8"/>
    <x v="191"/>
    <x v="0"/>
  </r>
  <r>
    <x v="192"/>
    <x v="3"/>
    <x v="1"/>
    <x v="11"/>
    <n v="16473"/>
    <x v="0"/>
    <x v="0"/>
    <n v="19163"/>
    <n v="2690"/>
    <x v="8"/>
    <x v="192"/>
    <x v="0"/>
  </r>
  <r>
    <x v="193"/>
    <x v="3"/>
    <x v="5"/>
    <x v="13"/>
    <n v="8711"/>
    <x v="1"/>
    <x v="0"/>
    <n v="12816"/>
    <n v="4105"/>
    <x v="2"/>
    <x v="193"/>
    <x v="0"/>
  </r>
  <r>
    <x v="194"/>
    <x v="3"/>
    <x v="7"/>
    <x v="39"/>
    <n v="7917"/>
    <x v="1"/>
    <x v="1"/>
    <n v="11527"/>
    <n v="3610"/>
    <x v="0"/>
    <x v="194"/>
    <x v="0"/>
  </r>
  <r>
    <x v="195"/>
    <x v="3"/>
    <x v="5"/>
    <x v="13"/>
    <n v="4520"/>
    <x v="1"/>
    <x v="0"/>
    <n v="5376"/>
    <n v="856"/>
    <x v="8"/>
    <x v="195"/>
    <x v="0"/>
  </r>
  <r>
    <x v="196"/>
    <x v="4"/>
    <x v="0"/>
    <x v="16"/>
    <n v="16718"/>
    <x v="2"/>
    <x v="1"/>
    <n v="21444"/>
    <n v="4726"/>
    <x v="4"/>
    <x v="196"/>
    <x v="0"/>
  </r>
  <r>
    <x v="197"/>
    <x v="4"/>
    <x v="6"/>
    <x v="18"/>
    <n v="66909"/>
    <x v="2"/>
    <x v="0"/>
    <n v="88962"/>
    <n v="22053"/>
    <x v="5"/>
    <x v="197"/>
    <x v="0"/>
  </r>
  <r>
    <x v="198"/>
    <x v="4"/>
    <x v="7"/>
    <x v="46"/>
    <n v="10996"/>
    <x v="0"/>
    <x v="0"/>
    <n v="12803"/>
    <n v="1807"/>
    <x v="6"/>
    <x v="198"/>
    <x v="0"/>
  </r>
  <r>
    <x v="199"/>
    <x v="5"/>
    <x v="0"/>
    <x v="42"/>
    <n v="47421"/>
    <x v="2"/>
    <x v="0"/>
    <n v="53136"/>
    <n v="5715"/>
    <x v="4"/>
    <x v="199"/>
    <x v="0"/>
  </r>
  <r>
    <x v="200"/>
    <x v="5"/>
    <x v="0"/>
    <x v="42"/>
    <n v="25743"/>
    <x v="3"/>
    <x v="0"/>
    <n v="34152"/>
    <n v="8409"/>
    <x v="8"/>
    <x v="200"/>
    <x v="0"/>
  </r>
  <r>
    <x v="201"/>
    <x v="5"/>
    <x v="1"/>
    <x v="21"/>
    <n v="74210"/>
    <x v="3"/>
    <x v="1"/>
    <n v="103020"/>
    <n v="28810"/>
    <x v="5"/>
    <x v="201"/>
    <x v="0"/>
  </r>
  <r>
    <x v="202"/>
    <x v="5"/>
    <x v="5"/>
    <x v="36"/>
    <n v="6142"/>
    <x v="2"/>
    <x v="1"/>
    <n v="6504"/>
    <n v="362"/>
    <x v="3"/>
    <x v="202"/>
    <x v="0"/>
  </r>
  <r>
    <x v="203"/>
    <x v="5"/>
    <x v="3"/>
    <x v="41"/>
    <n v="175840"/>
    <x v="3"/>
    <x v="0"/>
    <n v="253336"/>
    <n v="77496"/>
    <x v="7"/>
    <x v="203"/>
    <x v="0"/>
  </r>
  <r>
    <x v="204"/>
    <x v="5"/>
    <x v="0"/>
    <x v="42"/>
    <n v="29435"/>
    <x v="2"/>
    <x v="0"/>
    <n v="33311"/>
    <n v="3876"/>
    <x v="3"/>
    <x v="204"/>
    <x v="0"/>
  </r>
  <r>
    <x v="205"/>
    <x v="5"/>
    <x v="4"/>
    <x v="24"/>
    <n v="8136"/>
    <x v="3"/>
    <x v="1"/>
    <n v="10943"/>
    <n v="2807"/>
    <x v="9"/>
    <x v="205"/>
    <x v="0"/>
  </r>
  <r>
    <x v="206"/>
    <x v="5"/>
    <x v="4"/>
    <x v="24"/>
    <n v="51447"/>
    <x v="3"/>
    <x v="0"/>
    <n v="54726"/>
    <n v="3279"/>
    <x v="4"/>
    <x v="206"/>
    <x v="0"/>
  </r>
  <r>
    <x v="207"/>
    <x v="0"/>
    <x v="0"/>
    <x v="0"/>
    <n v="49328"/>
    <x v="0"/>
    <x v="0"/>
    <n v="50444"/>
    <n v="1116"/>
    <x v="8"/>
    <x v="207"/>
    <x v="0"/>
  </r>
  <r>
    <x v="208"/>
    <x v="0"/>
    <x v="3"/>
    <x v="44"/>
    <n v="124213"/>
    <x v="3"/>
    <x v="0"/>
    <n v="142180"/>
    <n v="17967"/>
    <x v="1"/>
    <x v="208"/>
    <x v="0"/>
  </r>
  <r>
    <x v="209"/>
    <x v="0"/>
    <x v="0"/>
    <x v="0"/>
    <n v="11978"/>
    <x v="0"/>
    <x v="0"/>
    <n v="17342"/>
    <n v="5364"/>
    <x v="8"/>
    <x v="209"/>
    <x v="0"/>
  </r>
  <r>
    <x v="210"/>
    <x v="0"/>
    <x v="3"/>
    <x v="44"/>
    <n v="56326"/>
    <x v="0"/>
    <x v="0"/>
    <n v="70652"/>
    <n v="14326"/>
    <x v="0"/>
    <x v="210"/>
    <x v="0"/>
  </r>
  <r>
    <x v="211"/>
    <x v="0"/>
    <x v="3"/>
    <x v="44"/>
    <n v="99421"/>
    <x v="2"/>
    <x v="0"/>
    <n v="101821"/>
    <n v="2400"/>
    <x v="2"/>
    <x v="211"/>
    <x v="0"/>
  </r>
  <r>
    <x v="212"/>
    <x v="1"/>
    <x v="1"/>
    <x v="47"/>
    <n v="47538"/>
    <x v="3"/>
    <x v="0"/>
    <n v="48535"/>
    <n v="997"/>
    <x v="9"/>
    <x v="212"/>
    <x v="0"/>
  </r>
  <r>
    <x v="213"/>
    <x v="1"/>
    <x v="5"/>
    <x v="30"/>
    <n v="2629"/>
    <x v="1"/>
    <x v="0"/>
    <n v="3086"/>
    <n v="457"/>
    <x v="5"/>
    <x v="213"/>
    <x v="0"/>
  </r>
  <r>
    <x v="214"/>
    <x v="1"/>
    <x v="3"/>
    <x v="3"/>
    <n v="68624"/>
    <x v="0"/>
    <x v="1"/>
    <n v="99002"/>
    <n v="30378"/>
    <x v="4"/>
    <x v="214"/>
    <x v="0"/>
  </r>
  <r>
    <x v="215"/>
    <x v="1"/>
    <x v="7"/>
    <x v="29"/>
    <n v="7620"/>
    <x v="3"/>
    <x v="0"/>
    <n v="7986"/>
    <n v="366"/>
    <x v="1"/>
    <x v="215"/>
    <x v="0"/>
  </r>
  <r>
    <x v="216"/>
    <x v="1"/>
    <x v="2"/>
    <x v="37"/>
    <n v="554"/>
    <x v="1"/>
    <x v="0"/>
    <n v="689"/>
    <n v="135"/>
    <x v="0"/>
    <x v="216"/>
    <x v="0"/>
  </r>
  <r>
    <x v="217"/>
    <x v="2"/>
    <x v="4"/>
    <x v="6"/>
    <n v="100956"/>
    <x v="2"/>
    <x v="0"/>
    <n v="123410"/>
    <n v="22454"/>
    <x v="4"/>
    <x v="217"/>
    <x v="0"/>
  </r>
  <r>
    <x v="218"/>
    <x v="2"/>
    <x v="3"/>
    <x v="7"/>
    <n v="123315"/>
    <x v="3"/>
    <x v="0"/>
    <n v="153728"/>
    <n v="30413"/>
    <x v="4"/>
    <x v="218"/>
    <x v="0"/>
  </r>
  <r>
    <x v="219"/>
    <x v="2"/>
    <x v="0"/>
    <x v="10"/>
    <n v="16577"/>
    <x v="3"/>
    <x v="1"/>
    <n v="22606"/>
    <n v="6029"/>
    <x v="2"/>
    <x v="219"/>
    <x v="0"/>
  </r>
  <r>
    <x v="220"/>
    <x v="2"/>
    <x v="3"/>
    <x v="7"/>
    <n v="175314"/>
    <x v="1"/>
    <x v="0"/>
    <n v="239788"/>
    <n v="64474"/>
    <x v="7"/>
    <x v="220"/>
    <x v="0"/>
  </r>
  <r>
    <x v="221"/>
    <x v="2"/>
    <x v="0"/>
    <x v="10"/>
    <n v="48209"/>
    <x v="3"/>
    <x v="1"/>
    <n v="67353"/>
    <n v="19144"/>
    <x v="7"/>
    <x v="221"/>
    <x v="0"/>
  </r>
  <r>
    <x v="222"/>
    <x v="2"/>
    <x v="6"/>
    <x v="9"/>
    <n v="37232"/>
    <x v="3"/>
    <x v="0"/>
    <n v="39780"/>
    <n v="2548"/>
    <x v="5"/>
    <x v="222"/>
    <x v="0"/>
  </r>
  <r>
    <x v="223"/>
    <x v="2"/>
    <x v="1"/>
    <x v="38"/>
    <n v="137010"/>
    <x v="2"/>
    <x v="0"/>
    <n v="192764"/>
    <n v="55754"/>
    <x v="3"/>
    <x v="223"/>
    <x v="0"/>
  </r>
  <r>
    <x v="224"/>
    <x v="3"/>
    <x v="0"/>
    <x v="15"/>
    <n v="35836"/>
    <x v="3"/>
    <x v="0"/>
    <n v="51195"/>
    <n v="15359"/>
    <x v="8"/>
    <x v="224"/>
    <x v="0"/>
  </r>
  <r>
    <x v="225"/>
    <x v="3"/>
    <x v="3"/>
    <x v="33"/>
    <n v="156207"/>
    <x v="3"/>
    <x v="0"/>
    <n v="203945"/>
    <n v="47738"/>
    <x v="8"/>
    <x v="225"/>
    <x v="0"/>
  </r>
  <r>
    <x v="226"/>
    <x v="3"/>
    <x v="4"/>
    <x v="12"/>
    <n v="87709"/>
    <x v="0"/>
    <x v="0"/>
    <n v="113316"/>
    <n v="25607"/>
    <x v="9"/>
    <x v="226"/>
    <x v="0"/>
  </r>
  <r>
    <x v="227"/>
    <x v="3"/>
    <x v="1"/>
    <x v="11"/>
    <n v="88669"/>
    <x v="2"/>
    <x v="0"/>
    <n v="125941"/>
    <n v="37272"/>
    <x v="8"/>
    <x v="227"/>
    <x v="0"/>
  </r>
  <r>
    <x v="228"/>
    <x v="3"/>
    <x v="5"/>
    <x v="13"/>
    <n v="9903"/>
    <x v="3"/>
    <x v="0"/>
    <n v="12284"/>
    <n v="2381"/>
    <x v="5"/>
    <x v="228"/>
    <x v="0"/>
  </r>
  <r>
    <x v="229"/>
    <x v="3"/>
    <x v="3"/>
    <x v="33"/>
    <n v="95300"/>
    <x v="1"/>
    <x v="0"/>
    <n v="107088"/>
    <n v="11788"/>
    <x v="6"/>
    <x v="229"/>
    <x v="0"/>
  </r>
  <r>
    <x v="230"/>
    <x v="3"/>
    <x v="0"/>
    <x v="15"/>
    <n v="24778"/>
    <x v="3"/>
    <x v="0"/>
    <n v="33413"/>
    <n v="8635"/>
    <x v="6"/>
    <x v="230"/>
    <x v="0"/>
  </r>
  <r>
    <x v="231"/>
    <x v="3"/>
    <x v="4"/>
    <x v="12"/>
    <n v="95075"/>
    <x v="0"/>
    <x v="1"/>
    <n v="106240"/>
    <n v="11165"/>
    <x v="0"/>
    <x v="231"/>
    <x v="0"/>
  </r>
  <r>
    <x v="232"/>
    <x v="4"/>
    <x v="5"/>
    <x v="17"/>
    <n v="5286"/>
    <x v="2"/>
    <x v="0"/>
    <n v="7070"/>
    <n v="1784"/>
    <x v="8"/>
    <x v="232"/>
    <x v="0"/>
  </r>
  <r>
    <x v="233"/>
    <x v="4"/>
    <x v="7"/>
    <x v="46"/>
    <n v="4790"/>
    <x v="3"/>
    <x v="0"/>
    <n v="5433"/>
    <n v="643"/>
    <x v="7"/>
    <x v="233"/>
    <x v="0"/>
  </r>
  <r>
    <x v="234"/>
    <x v="4"/>
    <x v="3"/>
    <x v="34"/>
    <n v="117429"/>
    <x v="3"/>
    <x v="0"/>
    <n v="130423"/>
    <n v="12994"/>
    <x v="1"/>
    <x v="234"/>
    <x v="0"/>
  </r>
  <r>
    <x v="235"/>
    <x v="5"/>
    <x v="1"/>
    <x v="21"/>
    <n v="15221"/>
    <x v="2"/>
    <x v="0"/>
    <n v="22453"/>
    <n v="7232"/>
    <x v="2"/>
    <x v="235"/>
    <x v="0"/>
  </r>
  <r>
    <x v="236"/>
    <x v="5"/>
    <x v="0"/>
    <x v="42"/>
    <n v="44921"/>
    <x v="0"/>
    <x v="1"/>
    <n v="46026"/>
    <n v="1105"/>
    <x v="0"/>
    <x v="236"/>
    <x v="0"/>
  </r>
  <r>
    <x v="237"/>
    <x v="5"/>
    <x v="4"/>
    <x v="24"/>
    <n v="117685"/>
    <x v="3"/>
    <x v="0"/>
    <n v="159923"/>
    <n v="42238"/>
    <x v="2"/>
    <x v="237"/>
    <x v="0"/>
  </r>
  <r>
    <x v="238"/>
    <x v="5"/>
    <x v="2"/>
    <x v="22"/>
    <n v="5029"/>
    <x v="1"/>
    <x v="0"/>
    <n v="6873"/>
    <n v="1844"/>
    <x v="9"/>
    <x v="238"/>
    <x v="0"/>
  </r>
  <r>
    <x v="239"/>
    <x v="5"/>
    <x v="4"/>
    <x v="24"/>
    <n v="108722"/>
    <x v="0"/>
    <x v="0"/>
    <n v="135082"/>
    <n v="26360"/>
    <x v="7"/>
    <x v="239"/>
    <x v="0"/>
  </r>
  <r>
    <x v="240"/>
    <x v="0"/>
    <x v="2"/>
    <x v="2"/>
    <n v="776"/>
    <x v="2"/>
    <x v="0"/>
    <n v="882"/>
    <n v="106"/>
    <x v="3"/>
    <x v="240"/>
    <x v="0"/>
  </r>
  <r>
    <x v="241"/>
    <x v="0"/>
    <x v="0"/>
    <x v="0"/>
    <n v="7015"/>
    <x v="2"/>
    <x v="0"/>
    <n v="7274"/>
    <n v="259"/>
    <x v="7"/>
    <x v="241"/>
    <x v="0"/>
  </r>
  <r>
    <x v="242"/>
    <x v="0"/>
    <x v="1"/>
    <x v="1"/>
    <n v="35049"/>
    <x v="2"/>
    <x v="0"/>
    <n v="47945"/>
    <n v="12896"/>
    <x v="1"/>
    <x v="242"/>
    <x v="0"/>
  </r>
  <r>
    <x v="243"/>
    <x v="0"/>
    <x v="5"/>
    <x v="26"/>
    <n v="7965"/>
    <x v="0"/>
    <x v="0"/>
    <n v="10005"/>
    <n v="2040"/>
    <x v="6"/>
    <x v="243"/>
    <x v="0"/>
  </r>
  <r>
    <x v="244"/>
    <x v="0"/>
    <x v="0"/>
    <x v="0"/>
    <n v="19319"/>
    <x v="2"/>
    <x v="0"/>
    <n v="28682"/>
    <n v="9363"/>
    <x v="5"/>
    <x v="244"/>
    <x v="0"/>
  </r>
  <r>
    <x v="245"/>
    <x v="0"/>
    <x v="0"/>
    <x v="0"/>
    <n v="16565"/>
    <x v="0"/>
    <x v="0"/>
    <n v="24573"/>
    <n v="8008"/>
    <x v="5"/>
    <x v="245"/>
    <x v="0"/>
  </r>
  <r>
    <x v="246"/>
    <x v="0"/>
    <x v="2"/>
    <x v="2"/>
    <n v="3632"/>
    <x v="2"/>
    <x v="0"/>
    <n v="3663"/>
    <n v="31"/>
    <x v="9"/>
    <x v="246"/>
    <x v="0"/>
  </r>
  <r>
    <x v="247"/>
    <x v="0"/>
    <x v="3"/>
    <x v="44"/>
    <n v="68736"/>
    <x v="2"/>
    <x v="0"/>
    <n v="88597"/>
    <n v="19861"/>
    <x v="6"/>
    <x v="247"/>
    <x v="0"/>
  </r>
  <r>
    <x v="248"/>
    <x v="1"/>
    <x v="0"/>
    <x v="5"/>
    <n v="44127"/>
    <x v="1"/>
    <x v="0"/>
    <n v="50980"/>
    <n v="6853"/>
    <x v="9"/>
    <x v="248"/>
    <x v="0"/>
  </r>
  <r>
    <x v="249"/>
    <x v="1"/>
    <x v="2"/>
    <x v="37"/>
    <n v="7584"/>
    <x v="3"/>
    <x v="0"/>
    <n v="11156"/>
    <n v="3572"/>
    <x v="3"/>
    <x v="249"/>
    <x v="0"/>
  </r>
  <r>
    <x v="250"/>
    <x v="1"/>
    <x v="3"/>
    <x v="3"/>
    <n v="147207"/>
    <x v="3"/>
    <x v="0"/>
    <n v="200425"/>
    <n v="53218"/>
    <x v="6"/>
    <x v="250"/>
    <x v="0"/>
  </r>
  <r>
    <x v="251"/>
    <x v="1"/>
    <x v="4"/>
    <x v="4"/>
    <n v="45823"/>
    <x v="3"/>
    <x v="0"/>
    <n v="62789"/>
    <n v="16966"/>
    <x v="2"/>
    <x v="251"/>
    <x v="0"/>
  </r>
  <r>
    <x v="252"/>
    <x v="1"/>
    <x v="4"/>
    <x v="4"/>
    <n v="119219"/>
    <x v="3"/>
    <x v="1"/>
    <n v="119551"/>
    <n v="332"/>
    <x v="6"/>
    <x v="252"/>
    <x v="0"/>
  </r>
  <r>
    <x v="253"/>
    <x v="1"/>
    <x v="3"/>
    <x v="3"/>
    <n v="92055"/>
    <x v="0"/>
    <x v="0"/>
    <n v="136217"/>
    <n v="44162"/>
    <x v="6"/>
    <x v="253"/>
    <x v="0"/>
  </r>
  <r>
    <x v="254"/>
    <x v="2"/>
    <x v="0"/>
    <x v="10"/>
    <n v="8884"/>
    <x v="2"/>
    <x v="0"/>
    <n v="10775"/>
    <n v="1891"/>
    <x v="7"/>
    <x v="148"/>
    <x v="0"/>
  </r>
  <r>
    <x v="255"/>
    <x v="2"/>
    <x v="0"/>
    <x v="10"/>
    <n v="12891"/>
    <x v="1"/>
    <x v="0"/>
    <n v="14163"/>
    <n v="1272"/>
    <x v="8"/>
    <x v="254"/>
    <x v="0"/>
  </r>
  <r>
    <x v="256"/>
    <x v="2"/>
    <x v="1"/>
    <x v="38"/>
    <n v="147517"/>
    <x v="2"/>
    <x v="0"/>
    <n v="183452"/>
    <n v="35935"/>
    <x v="7"/>
    <x v="255"/>
    <x v="0"/>
  </r>
  <r>
    <x v="257"/>
    <x v="2"/>
    <x v="0"/>
    <x v="10"/>
    <n v="30539"/>
    <x v="0"/>
    <x v="1"/>
    <n v="45744"/>
    <n v="15205"/>
    <x v="2"/>
    <x v="256"/>
    <x v="0"/>
  </r>
  <r>
    <x v="258"/>
    <x v="2"/>
    <x v="5"/>
    <x v="8"/>
    <n v="10237"/>
    <x v="0"/>
    <x v="1"/>
    <n v="13565"/>
    <n v="3328"/>
    <x v="0"/>
    <x v="257"/>
    <x v="0"/>
  </r>
  <r>
    <x v="259"/>
    <x v="2"/>
    <x v="5"/>
    <x v="8"/>
    <n v="9509"/>
    <x v="2"/>
    <x v="0"/>
    <n v="12383"/>
    <n v="2874"/>
    <x v="2"/>
    <x v="258"/>
    <x v="0"/>
  </r>
  <r>
    <x v="260"/>
    <x v="2"/>
    <x v="1"/>
    <x v="38"/>
    <n v="147462"/>
    <x v="1"/>
    <x v="0"/>
    <n v="200186"/>
    <n v="52724"/>
    <x v="8"/>
    <x v="259"/>
    <x v="0"/>
  </r>
  <r>
    <x v="261"/>
    <x v="3"/>
    <x v="3"/>
    <x v="33"/>
    <n v="27576"/>
    <x v="0"/>
    <x v="0"/>
    <n v="41272"/>
    <n v="13696"/>
    <x v="0"/>
    <x v="260"/>
    <x v="0"/>
  </r>
  <r>
    <x v="262"/>
    <x v="3"/>
    <x v="3"/>
    <x v="33"/>
    <n v="96778"/>
    <x v="2"/>
    <x v="1"/>
    <n v="101361"/>
    <n v="4583"/>
    <x v="3"/>
    <x v="261"/>
    <x v="0"/>
  </r>
  <r>
    <x v="263"/>
    <x v="3"/>
    <x v="5"/>
    <x v="13"/>
    <n v="11425"/>
    <x v="0"/>
    <x v="0"/>
    <n v="14619"/>
    <n v="3194"/>
    <x v="0"/>
    <x v="262"/>
    <x v="0"/>
  </r>
  <r>
    <x v="264"/>
    <x v="3"/>
    <x v="7"/>
    <x v="39"/>
    <n v="29894"/>
    <x v="0"/>
    <x v="0"/>
    <n v="43518"/>
    <n v="13624"/>
    <x v="1"/>
    <x v="263"/>
    <x v="0"/>
  </r>
  <r>
    <x v="265"/>
    <x v="4"/>
    <x v="2"/>
    <x v="35"/>
    <n v="1134"/>
    <x v="3"/>
    <x v="0"/>
    <n v="1470"/>
    <n v="336"/>
    <x v="3"/>
    <x v="264"/>
    <x v="0"/>
  </r>
  <r>
    <x v="266"/>
    <x v="4"/>
    <x v="0"/>
    <x v="16"/>
    <n v="10303"/>
    <x v="2"/>
    <x v="0"/>
    <n v="14408"/>
    <n v="4105"/>
    <x v="1"/>
    <x v="265"/>
    <x v="0"/>
  </r>
  <r>
    <x v="267"/>
    <x v="4"/>
    <x v="7"/>
    <x v="46"/>
    <n v="29453"/>
    <x v="2"/>
    <x v="0"/>
    <n v="40310"/>
    <n v="10857"/>
    <x v="3"/>
    <x v="266"/>
    <x v="0"/>
  </r>
  <r>
    <x v="268"/>
    <x v="4"/>
    <x v="2"/>
    <x v="35"/>
    <n v="2273"/>
    <x v="3"/>
    <x v="0"/>
    <n v="2377"/>
    <n v="104"/>
    <x v="3"/>
    <x v="267"/>
    <x v="0"/>
  </r>
  <r>
    <x v="269"/>
    <x v="4"/>
    <x v="6"/>
    <x v="18"/>
    <n v="47380"/>
    <x v="3"/>
    <x v="1"/>
    <n v="49223"/>
    <n v="1843"/>
    <x v="6"/>
    <x v="268"/>
    <x v="0"/>
  </r>
  <r>
    <x v="270"/>
    <x v="5"/>
    <x v="3"/>
    <x v="41"/>
    <n v="95744"/>
    <x v="1"/>
    <x v="0"/>
    <n v="110228"/>
    <n v="14484"/>
    <x v="9"/>
    <x v="269"/>
    <x v="0"/>
  </r>
  <r>
    <x v="271"/>
    <x v="5"/>
    <x v="4"/>
    <x v="24"/>
    <n v="106439"/>
    <x v="0"/>
    <x v="0"/>
    <n v="126957"/>
    <n v="20518"/>
    <x v="9"/>
    <x v="270"/>
    <x v="0"/>
  </r>
  <r>
    <x v="272"/>
    <x v="5"/>
    <x v="0"/>
    <x v="42"/>
    <n v="41674"/>
    <x v="0"/>
    <x v="0"/>
    <n v="59223"/>
    <n v="17549"/>
    <x v="8"/>
    <x v="271"/>
    <x v="0"/>
  </r>
  <r>
    <x v="273"/>
    <x v="5"/>
    <x v="3"/>
    <x v="41"/>
    <n v="138475"/>
    <x v="1"/>
    <x v="1"/>
    <n v="186602"/>
    <n v="48127"/>
    <x v="8"/>
    <x v="272"/>
    <x v="0"/>
  </r>
  <r>
    <x v="274"/>
    <x v="5"/>
    <x v="5"/>
    <x v="36"/>
    <n v="3916"/>
    <x v="2"/>
    <x v="0"/>
    <n v="3966"/>
    <n v="50"/>
    <x v="8"/>
    <x v="273"/>
    <x v="0"/>
  </r>
  <r>
    <x v="275"/>
    <x v="5"/>
    <x v="2"/>
    <x v="22"/>
    <n v="3633"/>
    <x v="1"/>
    <x v="0"/>
    <n v="4313"/>
    <n v="680"/>
    <x v="6"/>
    <x v="274"/>
    <x v="0"/>
  </r>
  <r>
    <x v="276"/>
    <x v="5"/>
    <x v="2"/>
    <x v="22"/>
    <n v="545"/>
    <x v="1"/>
    <x v="0"/>
    <n v="705"/>
    <n v="160"/>
    <x v="5"/>
    <x v="275"/>
    <x v="0"/>
  </r>
  <r>
    <x v="277"/>
    <x v="5"/>
    <x v="6"/>
    <x v="23"/>
    <n v="40786"/>
    <x v="2"/>
    <x v="0"/>
    <n v="41470"/>
    <n v="684"/>
    <x v="7"/>
    <x v="276"/>
    <x v="0"/>
  </r>
  <r>
    <x v="278"/>
    <x v="0"/>
    <x v="6"/>
    <x v="43"/>
    <n v="79996"/>
    <x v="2"/>
    <x v="1"/>
    <n v="112927"/>
    <n v="32931"/>
    <x v="6"/>
    <x v="277"/>
    <x v="0"/>
  </r>
  <r>
    <x v="279"/>
    <x v="0"/>
    <x v="1"/>
    <x v="1"/>
    <n v="134111"/>
    <x v="1"/>
    <x v="0"/>
    <n v="184398"/>
    <n v="50287"/>
    <x v="2"/>
    <x v="278"/>
    <x v="0"/>
  </r>
  <r>
    <x v="280"/>
    <x v="0"/>
    <x v="1"/>
    <x v="1"/>
    <n v="56375"/>
    <x v="1"/>
    <x v="0"/>
    <n v="80924"/>
    <n v="24549"/>
    <x v="4"/>
    <x v="279"/>
    <x v="0"/>
  </r>
  <r>
    <x v="281"/>
    <x v="0"/>
    <x v="3"/>
    <x v="44"/>
    <n v="177111"/>
    <x v="1"/>
    <x v="1"/>
    <n v="240038"/>
    <n v="62927"/>
    <x v="5"/>
    <x v="280"/>
    <x v="0"/>
  </r>
  <r>
    <x v="282"/>
    <x v="0"/>
    <x v="6"/>
    <x v="43"/>
    <n v="48603"/>
    <x v="0"/>
    <x v="0"/>
    <n v="68950"/>
    <n v="20347"/>
    <x v="1"/>
    <x v="281"/>
    <x v="0"/>
  </r>
  <r>
    <x v="283"/>
    <x v="1"/>
    <x v="6"/>
    <x v="45"/>
    <n v="57844"/>
    <x v="1"/>
    <x v="0"/>
    <n v="69887"/>
    <n v="12043"/>
    <x v="0"/>
    <x v="282"/>
    <x v="0"/>
  </r>
  <r>
    <x v="284"/>
    <x v="1"/>
    <x v="1"/>
    <x v="47"/>
    <n v="79897"/>
    <x v="1"/>
    <x v="0"/>
    <n v="83251"/>
    <n v="3354"/>
    <x v="1"/>
    <x v="283"/>
    <x v="0"/>
  </r>
  <r>
    <x v="285"/>
    <x v="1"/>
    <x v="4"/>
    <x v="4"/>
    <n v="27671"/>
    <x v="1"/>
    <x v="0"/>
    <n v="36461"/>
    <n v="8790"/>
    <x v="5"/>
    <x v="284"/>
    <x v="0"/>
  </r>
  <r>
    <x v="286"/>
    <x v="1"/>
    <x v="5"/>
    <x v="30"/>
    <n v="2928"/>
    <x v="1"/>
    <x v="1"/>
    <n v="3428"/>
    <n v="500"/>
    <x v="6"/>
    <x v="285"/>
    <x v="0"/>
  </r>
  <r>
    <x v="287"/>
    <x v="1"/>
    <x v="0"/>
    <x v="5"/>
    <n v="7935"/>
    <x v="3"/>
    <x v="0"/>
    <n v="8659"/>
    <n v="724"/>
    <x v="1"/>
    <x v="286"/>
    <x v="0"/>
  </r>
  <r>
    <x v="288"/>
    <x v="1"/>
    <x v="6"/>
    <x v="45"/>
    <n v="27195"/>
    <x v="0"/>
    <x v="0"/>
    <n v="37920"/>
    <n v="10725"/>
    <x v="4"/>
    <x v="287"/>
    <x v="0"/>
  </r>
  <r>
    <x v="289"/>
    <x v="1"/>
    <x v="7"/>
    <x v="29"/>
    <n v="25311"/>
    <x v="3"/>
    <x v="0"/>
    <n v="33440"/>
    <n v="8129"/>
    <x v="5"/>
    <x v="288"/>
    <x v="0"/>
  </r>
  <r>
    <x v="290"/>
    <x v="2"/>
    <x v="7"/>
    <x v="32"/>
    <n v="8832"/>
    <x v="0"/>
    <x v="0"/>
    <n v="10064"/>
    <n v="1232"/>
    <x v="0"/>
    <x v="289"/>
    <x v="0"/>
  </r>
  <r>
    <x v="291"/>
    <x v="2"/>
    <x v="7"/>
    <x v="32"/>
    <n v="9528"/>
    <x v="0"/>
    <x v="0"/>
    <n v="10372"/>
    <n v="844"/>
    <x v="5"/>
    <x v="290"/>
    <x v="0"/>
  </r>
  <r>
    <x v="292"/>
    <x v="2"/>
    <x v="3"/>
    <x v="7"/>
    <n v="103101"/>
    <x v="2"/>
    <x v="0"/>
    <n v="132933"/>
    <n v="29832"/>
    <x v="7"/>
    <x v="291"/>
    <x v="0"/>
  </r>
  <r>
    <x v="293"/>
    <x v="2"/>
    <x v="4"/>
    <x v="6"/>
    <n v="25408"/>
    <x v="2"/>
    <x v="0"/>
    <n v="32242"/>
    <n v="6834"/>
    <x v="5"/>
    <x v="292"/>
    <x v="0"/>
  </r>
  <r>
    <x v="294"/>
    <x v="2"/>
    <x v="5"/>
    <x v="8"/>
    <n v="12463"/>
    <x v="0"/>
    <x v="0"/>
    <n v="18498"/>
    <n v="6035"/>
    <x v="9"/>
    <x v="293"/>
    <x v="0"/>
  </r>
  <r>
    <x v="295"/>
    <x v="2"/>
    <x v="7"/>
    <x v="32"/>
    <n v="10151"/>
    <x v="1"/>
    <x v="1"/>
    <n v="12525"/>
    <n v="2374"/>
    <x v="3"/>
    <x v="294"/>
    <x v="0"/>
  </r>
  <r>
    <x v="296"/>
    <x v="3"/>
    <x v="3"/>
    <x v="33"/>
    <n v="163831"/>
    <x v="2"/>
    <x v="1"/>
    <n v="190289"/>
    <n v="26458"/>
    <x v="7"/>
    <x v="295"/>
    <x v="0"/>
  </r>
  <r>
    <x v="297"/>
    <x v="3"/>
    <x v="0"/>
    <x v="15"/>
    <n v="43253"/>
    <x v="3"/>
    <x v="0"/>
    <n v="51014"/>
    <n v="7761"/>
    <x v="6"/>
    <x v="296"/>
    <x v="0"/>
  </r>
  <r>
    <x v="298"/>
    <x v="3"/>
    <x v="5"/>
    <x v="13"/>
    <n v="11614"/>
    <x v="0"/>
    <x v="0"/>
    <n v="16858"/>
    <n v="5244"/>
    <x v="3"/>
    <x v="297"/>
    <x v="0"/>
  </r>
  <r>
    <x v="299"/>
    <x v="3"/>
    <x v="1"/>
    <x v="11"/>
    <n v="15701"/>
    <x v="2"/>
    <x v="1"/>
    <n v="19147"/>
    <n v="3446"/>
    <x v="1"/>
    <x v="298"/>
    <x v="0"/>
  </r>
  <r>
    <x v="300"/>
    <x v="4"/>
    <x v="4"/>
    <x v="20"/>
    <n v="67072"/>
    <x v="0"/>
    <x v="1"/>
    <n v="95044"/>
    <n v="27972"/>
    <x v="2"/>
    <x v="299"/>
    <x v="0"/>
  </r>
  <r>
    <x v="301"/>
    <x v="4"/>
    <x v="4"/>
    <x v="20"/>
    <n v="44344"/>
    <x v="1"/>
    <x v="0"/>
    <n v="45234"/>
    <n v="890"/>
    <x v="8"/>
    <x v="300"/>
    <x v="0"/>
  </r>
  <r>
    <x v="302"/>
    <x v="4"/>
    <x v="4"/>
    <x v="20"/>
    <n v="82735"/>
    <x v="3"/>
    <x v="0"/>
    <n v="83916"/>
    <n v="1181"/>
    <x v="1"/>
    <x v="301"/>
    <x v="0"/>
  </r>
  <r>
    <x v="303"/>
    <x v="4"/>
    <x v="2"/>
    <x v="35"/>
    <n v="5152"/>
    <x v="0"/>
    <x v="0"/>
    <n v="7089"/>
    <n v="1937"/>
    <x v="4"/>
    <x v="302"/>
    <x v="0"/>
  </r>
  <r>
    <x v="304"/>
    <x v="4"/>
    <x v="1"/>
    <x v="19"/>
    <n v="100728"/>
    <x v="2"/>
    <x v="0"/>
    <n v="123831"/>
    <n v="23103"/>
    <x v="3"/>
    <x v="303"/>
    <x v="0"/>
  </r>
  <r>
    <x v="305"/>
    <x v="4"/>
    <x v="1"/>
    <x v="19"/>
    <n v="88979"/>
    <x v="3"/>
    <x v="0"/>
    <n v="102661"/>
    <n v="13682"/>
    <x v="8"/>
    <x v="304"/>
    <x v="0"/>
  </r>
  <r>
    <x v="306"/>
    <x v="4"/>
    <x v="2"/>
    <x v="35"/>
    <n v="1762"/>
    <x v="0"/>
    <x v="0"/>
    <n v="2365"/>
    <n v="603"/>
    <x v="6"/>
    <x v="305"/>
    <x v="0"/>
  </r>
  <r>
    <x v="307"/>
    <x v="4"/>
    <x v="5"/>
    <x v="17"/>
    <n v="2636"/>
    <x v="2"/>
    <x v="0"/>
    <n v="3257"/>
    <n v="621"/>
    <x v="6"/>
    <x v="306"/>
    <x v="0"/>
  </r>
  <r>
    <x v="308"/>
    <x v="5"/>
    <x v="3"/>
    <x v="41"/>
    <n v="195132"/>
    <x v="2"/>
    <x v="0"/>
    <n v="218815"/>
    <n v="23683"/>
    <x v="2"/>
    <x v="307"/>
    <x v="0"/>
  </r>
  <r>
    <x v="309"/>
    <x v="5"/>
    <x v="4"/>
    <x v="24"/>
    <n v="106352"/>
    <x v="2"/>
    <x v="1"/>
    <n v="123746"/>
    <n v="17394"/>
    <x v="8"/>
    <x v="308"/>
    <x v="0"/>
  </r>
  <r>
    <x v="310"/>
    <x v="5"/>
    <x v="0"/>
    <x v="42"/>
    <n v="24732"/>
    <x v="1"/>
    <x v="0"/>
    <n v="30770"/>
    <n v="6038"/>
    <x v="1"/>
    <x v="309"/>
    <x v="0"/>
  </r>
  <r>
    <x v="311"/>
    <x v="5"/>
    <x v="2"/>
    <x v="22"/>
    <n v="3523"/>
    <x v="1"/>
    <x v="1"/>
    <n v="4161"/>
    <n v="638"/>
    <x v="1"/>
    <x v="310"/>
    <x v="0"/>
  </r>
  <r>
    <x v="312"/>
    <x v="5"/>
    <x v="0"/>
    <x v="42"/>
    <n v="44308"/>
    <x v="3"/>
    <x v="0"/>
    <n v="49405"/>
    <n v="5097"/>
    <x v="0"/>
    <x v="311"/>
    <x v="0"/>
  </r>
  <r>
    <x v="313"/>
    <x v="5"/>
    <x v="4"/>
    <x v="24"/>
    <n v="17170"/>
    <x v="3"/>
    <x v="0"/>
    <n v="20085"/>
    <n v="2915"/>
    <x v="3"/>
    <x v="312"/>
    <x v="0"/>
  </r>
  <r>
    <x v="314"/>
    <x v="0"/>
    <x v="4"/>
    <x v="27"/>
    <n v="93509"/>
    <x v="0"/>
    <x v="0"/>
    <n v="131907"/>
    <n v="38398"/>
    <x v="3"/>
    <x v="313"/>
    <x v="0"/>
  </r>
  <r>
    <x v="315"/>
    <x v="0"/>
    <x v="4"/>
    <x v="27"/>
    <n v="94435"/>
    <x v="2"/>
    <x v="0"/>
    <n v="118863"/>
    <n v="24428"/>
    <x v="2"/>
    <x v="314"/>
    <x v="0"/>
  </r>
  <r>
    <x v="316"/>
    <x v="0"/>
    <x v="0"/>
    <x v="0"/>
    <n v="44983"/>
    <x v="1"/>
    <x v="0"/>
    <n v="64381"/>
    <n v="19398"/>
    <x v="2"/>
    <x v="315"/>
    <x v="0"/>
  </r>
  <r>
    <x v="317"/>
    <x v="0"/>
    <x v="4"/>
    <x v="27"/>
    <n v="94954"/>
    <x v="2"/>
    <x v="0"/>
    <n v="116541"/>
    <n v="21587"/>
    <x v="7"/>
    <x v="316"/>
    <x v="0"/>
  </r>
  <r>
    <x v="318"/>
    <x v="0"/>
    <x v="4"/>
    <x v="27"/>
    <n v="38901"/>
    <x v="2"/>
    <x v="1"/>
    <n v="53335"/>
    <n v="14434"/>
    <x v="2"/>
    <x v="317"/>
    <x v="0"/>
  </r>
  <r>
    <x v="319"/>
    <x v="1"/>
    <x v="5"/>
    <x v="30"/>
    <n v="14830"/>
    <x v="1"/>
    <x v="0"/>
    <n v="18797"/>
    <n v="3967"/>
    <x v="8"/>
    <x v="318"/>
    <x v="0"/>
  </r>
  <r>
    <x v="320"/>
    <x v="1"/>
    <x v="4"/>
    <x v="4"/>
    <n v="119073"/>
    <x v="1"/>
    <x v="0"/>
    <n v="159243"/>
    <n v="40170"/>
    <x v="1"/>
    <x v="319"/>
    <x v="0"/>
  </r>
  <r>
    <x v="321"/>
    <x v="1"/>
    <x v="2"/>
    <x v="37"/>
    <n v="4718"/>
    <x v="2"/>
    <x v="0"/>
    <n v="6635"/>
    <n v="1917"/>
    <x v="7"/>
    <x v="320"/>
    <x v="0"/>
  </r>
  <r>
    <x v="322"/>
    <x v="1"/>
    <x v="7"/>
    <x v="29"/>
    <n v="4305"/>
    <x v="2"/>
    <x v="0"/>
    <n v="4567"/>
    <n v="262"/>
    <x v="7"/>
    <x v="321"/>
    <x v="0"/>
  </r>
  <r>
    <x v="323"/>
    <x v="1"/>
    <x v="5"/>
    <x v="30"/>
    <n v="5134"/>
    <x v="0"/>
    <x v="0"/>
    <n v="6227"/>
    <n v="1093"/>
    <x v="9"/>
    <x v="322"/>
    <x v="0"/>
  </r>
  <r>
    <x v="324"/>
    <x v="1"/>
    <x v="1"/>
    <x v="47"/>
    <n v="86871"/>
    <x v="2"/>
    <x v="0"/>
    <n v="102372"/>
    <n v="15501"/>
    <x v="5"/>
    <x v="323"/>
    <x v="0"/>
  </r>
  <r>
    <x v="325"/>
    <x v="1"/>
    <x v="6"/>
    <x v="45"/>
    <n v="19638"/>
    <x v="2"/>
    <x v="0"/>
    <n v="23146"/>
    <n v="3508"/>
    <x v="3"/>
    <x v="324"/>
    <x v="0"/>
  </r>
  <r>
    <x v="326"/>
    <x v="1"/>
    <x v="0"/>
    <x v="5"/>
    <n v="10261"/>
    <x v="2"/>
    <x v="0"/>
    <n v="13990"/>
    <n v="3729"/>
    <x v="5"/>
    <x v="325"/>
    <x v="0"/>
  </r>
  <r>
    <x v="327"/>
    <x v="2"/>
    <x v="2"/>
    <x v="31"/>
    <n v="7263"/>
    <x v="2"/>
    <x v="0"/>
    <n v="10544"/>
    <n v="3281"/>
    <x v="4"/>
    <x v="326"/>
    <x v="0"/>
  </r>
  <r>
    <x v="328"/>
    <x v="2"/>
    <x v="5"/>
    <x v="8"/>
    <n v="1627"/>
    <x v="1"/>
    <x v="0"/>
    <n v="1746"/>
    <n v="119"/>
    <x v="9"/>
    <x v="327"/>
    <x v="0"/>
  </r>
  <r>
    <x v="329"/>
    <x v="2"/>
    <x v="5"/>
    <x v="8"/>
    <n v="11432"/>
    <x v="2"/>
    <x v="0"/>
    <n v="15715"/>
    <n v="4283"/>
    <x v="3"/>
    <x v="328"/>
    <x v="0"/>
  </r>
  <r>
    <x v="330"/>
    <x v="2"/>
    <x v="0"/>
    <x v="10"/>
    <n v="30405"/>
    <x v="3"/>
    <x v="1"/>
    <n v="45078"/>
    <n v="14673"/>
    <x v="5"/>
    <x v="329"/>
    <x v="0"/>
  </r>
  <r>
    <x v="331"/>
    <x v="2"/>
    <x v="2"/>
    <x v="31"/>
    <n v="6187"/>
    <x v="2"/>
    <x v="0"/>
    <n v="8659"/>
    <n v="2472"/>
    <x v="8"/>
    <x v="330"/>
    <x v="0"/>
  </r>
  <r>
    <x v="332"/>
    <x v="2"/>
    <x v="1"/>
    <x v="38"/>
    <n v="82575"/>
    <x v="2"/>
    <x v="0"/>
    <n v="103283"/>
    <n v="20708"/>
    <x v="5"/>
    <x v="331"/>
    <x v="0"/>
  </r>
  <r>
    <x v="333"/>
    <x v="3"/>
    <x v="4"/>
    <x v="12"/>
    <n v="32149"/>
    <x v="3"/>
    <x v="0"/>
    <n v="32450"/>
    <n v="301"/>
    <x v="5"/>
    <x v="332"/>
    <x v="0"/>
  </r>
  <r>
    <x v="334"/>
    <x v="3"/>
    <x v="5"/>
    <x v="13"/>
    <n v="2591"/>
    <x v="0"/>
    <x v="0"/>
    <n v="2878"/>
    <n v="287"/>
    <x v="4"/>
    <x v="333"/>
    <x v="0"/>
  </r>
  <r>
    <x v="335"/>
    <x v="3"/>
    <x v="7"/>
    <x v="39"/>
    <n v="26860"/>
    <x v="2"/>
    <x v="1"/>
    <n v="36423"/>
    <n v="9563"/>
    <x v="8"/>
    <x v="334"/>
    <x v="0"/>
  </r>
  <r>
    <x v="336"/>
    <x v="4"/>
    <x v="5"/>
    <x v="17"/>
    <n v="9871"/>
    <x v="1"/>
    <x v="0"/>
    <n v="11791"/>
    <n v="1920"/>
    <x v="2"/>
    <x v="335"/>
    <x v="0"/>
  </r>
  <r>
    <x v="337"/>
    <x v="4"/>
    <x v="5"/>
    <x v="17"/>
    <n v="14477"/>
    <x v="2"/>
    <x v="0"/>
    <n v="17694"/>
    <n v="3217"/>
    <x v="9"/>
    <x v="336"/>
    <x v="0"/>
  </r>
  <r>
    <x v="338"/>
    <x v="4"/>
    <x v="4"/>
    <x v="20"/>
    <n v="38514"/>
    <x v="1"/>
    <x v="0"/>
    <n v="46273"/>
    <n v="7759"/>
    <x v="9"/>
    <x v="337"/>
    <x v="0"/>
  </r>
  <r>
    <x v="339"/>
    <x v="4"/>
    <x v="0"/>
    <x v="16"/>
    <n v="15602"/>
    <x v="0"/>
    <x v="0"/>
    <n v="21437"/>
    <n v="5835"/>
    <x v="5"/>
    <x v="338"/>
    <x v="0"/>
  </r>
  <r>
    <x v="340"/>
    <x v="4"/>
    <x v="3"/>
    <x v="34"/>
    <n v="186816"/>
    <x v="3"/>
    <x v="1"/>
    <n v="230473"/>
    <n v="43657"/>
    <x v="2"/>
    <x v="339"/>
    <x v="0"/>
  </r>
  <r>
    <x v="341"/>
    <x v="4"/>
    <x v="4"/>
    <x v="20"/>
    <n v="59446"/>
    <x v="0"/>
    <x v="1"/>
    <n v="89045"/>
    <n v="29599"/>
    <x v="6"/>
    <x v="340"/>
    <x v="0"/>
  </r>
  <r>
    <x v="342"/>
    <x v="4"/>
    <x v="4"/>
    <x v="20"/>
    <n v="75463"/>
    <x v="1"/>
    <x v="0"/>
    <n v="80432"/>
    <n v="4969"/>
    <x v="8"/>
    <x v="341"/>
    <x v="0"/>
  </r>
  <r>
    <x v="343"/>
    <x v="5"/>
    <x v="0"/>
    <x v="42"/>
    <n v="39404"/>
    <x v="3"/>
    <x v="0"/>
    <n v="45105"/>
    <n v="5701"/>
    <x v="9"/>
    <x v="342"/>
    <x v="0"/>
  </r>
  <r>
    <x v="344"/>
    <x v="5"/>
    <x v="5"/>
    <x v="36"/>
    <n v="13308"/>
    <x v="0"/>
    <x v="0"/>
    <n v="14757"/>
    <n v="1449"/>
    <x v="2"/>
    <x v="343"/>
    <x v="0"/>
  </r>
  <r>
    <x v="345"/>
    <x v="5"/>
    <x v="0"/>
    <x v="42"/>
    <n v="45531"/>
    <x v="0"/>
    <x v="1"/>
    <n v="65673"/>
    <n v="20142"/>
    <x v="9"/>
    <x v="344"/>
    <x v="0"/>
  </r>
  <r>
    <x v="346"/>
    <x v="5"/>
    <x v="4"/>
    <x v="24"/>
    <n v="34504"/>
    <x v="2"/>
    <x v="0"/>
    <n v="49324"/>
    <n v="14820"/>
    <x v="6"/>
    <x v="345"/>
    <x v="0"/>
  </r>
  <r>
    <x v="347"/>
    <x v="0"/>
    <x v="4"/>
    <x v="27"/>
    <n v="42802"/>
    <x v="0"/>
    <x v="0"/>
    <n v="42873"/>
    <n v="71"/>
    <x v="3"/>
    <x v="346"/>
    <x v="0"/>
  </r>
  <r>
    <x v="348"/>
    <x v="0"/>
    <x v="0"/>
    <x v="0"/>
    <n v="27123"/>
    <x v="2"/>
    <x v="0"/>
    <n v="34991"/>
    <n v="7868"/>
    <x v="0"/>
    <x v="347"/>
    <x v="0"/>
  </r>
  <r>
    <x v="349"/>
    <x v="0"/>
    <x v="6"/>
    <x v="43"/>
    <n v="34385"/>
    <x v="1"/>
    <x v="1"/>
    <n v="36767"/>
    <n v="2382"/>
    <x v="1"/>
    <x v="348"/>
    <x v="0"/>
  </r>
  <r>
    <x v="350"/>
    <x v="0"/>
    <x v="6"/>
    <x v="43"/>
    <n v="47601"/>
    <x v="2"/>
    <x v="0"/>
    <n v="62115"/>
    <n v="14514"/>
    <x v="2"/>
    <x v="349"/>
    <x v="0"/>
  </r>
  <r>
    <x v="351"/>
    <x v="1"/>
    <x v="4"/>
    <x v="4"/>
    <n v="77359"/>
    <x v="3"/>
    <x v="0"/>
    <n v="97137"/>
    <n v="19778"/>
    <x v="2"/>
    <x v="350"/>
    <x v="0"/>
  </r>
  <r>
    <x v="352"/>
    <x v="1"/>
    <x v="1"/>
    <x v="47"/>
    <n v="133776"/>
    <x v="0"/>
    <x v="0"/>
    <n v="196459"/>
    <n v="62683"/>
    <x v="5"/>
    <x v="351"/>
    <x v="0"/>
  </r>
  <r>
    <x v="353"/>
    <x v="1"/>
    <x v="6"/>
    <x v="45"/>
    <n v="32132"/>
    <x v="3"/>
    <x v="1"/>
    <n v="41412"/>
    <n v="9280"/>
    <x v="6"/>
    <x v="352"/>
    <x v="0"/>
  </r>
  <r>
    <x v="354"/>
    <x v="1"/>
    <x v="1"/>
    <x v="47"/>
    <n v="130954"/>
    <x v="0"/>
    <x v="0"/>
    <n v="163707"/>
    <n v="32753"/>
    <x v="0"/>
    <x v="353"/>
    <x v="0"/>
  </r>
  <r>
    <x v="355"/>
    <x v="1"/>
    <x v="0"/>
    <x v="5"/>
    <n v="2451"/>
    <x v="2"/>
    <x v="1"/>
    <n v="3368"/>
    <n v="917"/>
    <x v="6"/>
    <x v="354"/>
    <x v="0"/>
  </r>
  <r>
    <x v="356"/>
    <x v="1"/>
    <x v="0"/>
    <x v="5"/>
    <n v="29334"/>
    <x v="1"/>
    <x v="1"/>
    <n v="43379"/>
    <n v="14045"/>
    <x v="9"/>
    <x v="355"/>
    <x v="0"/>
  </r>
  <r>
    <x v="357"/>
    <x v="1"/>
    <x v="3"/>
    <x v="3"/>
    <n v="136040"/>
    <x v="0"/>
    <x v="0"/>
    <n v="192344"/>
    <n v="56304"/>
    <x v="7"/>
    <x v="356"/>
    <x v="0"/>
  </r>
  <r>
    <x v="358"/>
    <x v="1"/>
    <x v="4"/>
    <x v="4"/>
    <n v="98929"/>
    <x v="2"/>
    <x v="0"/>
    <n v="144802"/>
    <n v="45873"/>
    <x v="4"/>
    <x v="357"/>
    <x v="0"/>
  </r>
  <r>
    <x v="359"/>
    <x v="2"/>
    <x v="7"/>
    <x v="32"/>
    <n v="27836"/>
    <x v="1"/>
    <x v="0"/>
    <n v="39322"/>
    <n v="11486"/>
    <x v="2"/>
    <x v="358"/>
    <x v="0"/>
  </r>
  <r>
    <x v="360"/>
    <x v="2"/>
    <x v="5"/>
    <x v="8"/>
    <n v="3325"/>
    <x v="2"/>
    <x v="0"/>
    <n v="4843"/>
    <n v="1518"/>
    <x v="5"/>
    <x v="359"/>
    <x v="0"/>
  </r>
  <r>
    <x v="361"/>
    <x v="2"/>
    <x v="5"/>
    <x v="8"/>
    <n v="11519"/>
    <x v="2"/>
    <x v="0"/>
    <n v="15514"/>
    <n v="3995"/>
    <x v="5"/>
    <x v="360"/>
    <x v="0"/>
  </r>
  <r>
    <x v="362"/>
    <x v="2"/>
    <x v="7"/>
    <x v="32"/>
    <n v="25583"/>
    <x v="2"/>
    <x v="0"/>
    <n v="31271"/>
    <n v="5688"/>
    <x v="1"/>
    <x v="361"/>
    <x v="0"/>
  </r>
  <r>
    <x v="363"/>
    <x v="3"/>
    <x v="6"/>
    <x v="14"/>
    <n v="23352"/>
    <x v="1"/>
    <x v="0"/>
    <n v="25080"/>
    <n v="1728"/>
    <x v="2"/>
    <x v="362"/>
    <x v="0"/>
  </r>
  <r>
    <x v="364"/>
    <x v="3"/>
    <x v="5"/>
    <x v="13"/>
    <n v="12694"/>
    <x v="3"/>
    <x v="1"/>
    <n v="14542"/>
    <n v="1848"/>
    <x v="5"/>
    <x v="363"/>
    <x v="0"/>
  </r>
  <r>
    <x v="365"/>
    <x v="3"/>
    <x v="3"/>
    <x v="33"/>
    <n v="186495"/>
    <x v="3"/>
    <x v="0"/>
    <n v="213992"/>
    <n v="27497"/>
    <x v="1"/>
    <x v="364"/>
    <x v="0"/>
  </r>
  <r>
    <x v="366"/>
    <x v="3"/>
    <x v="4"/>
    <x v="12"/>
    <n v="38725"/>
    <x v="3"/>
    <x v="1"/>
    <n v="51054"/>
    <n v="12329"/>
    <x v="5"/>
    <x v="365"/>
    <x v="0"/>
  </r>
  <r>
    <x v="367"/>
    <x v="3"/>
    <x v="6"/>
    <x v="14"/>
    <n v="39002"/>
    <x v="2"/>
    <x v="0"/>
    <n v="46104"/>
    <n v="7102"/>
    <x v="1"/>
    <x v="366"/>
    <x v="0"/>
  </r>
  <r>
    <x v="368"/>
    <x v="3"/>
    <x v="5"/>
    <x v="13"/>
    <n v="11548"/>
    <x v="0"/>
    <x v="1"/>
    <n v="12448"/>
    <n v="900"/>
    <x v="2"/>
    <x v="367"/>
    <x v="0"/>
  </r>
  <r>
    <x v="369"/>
    <x v="3"/>
    <x v="3"/>
    <x v="33"/>
    <n v="179968"/>
    <x v="2"/>
    <x v="0"/>
    <n v="195186"/>
    <n v="15218"/>
    <x v="6"/>
    <x v="368"/>
    <x v="0"/>
  </r>
  <r>
    <x v="370"/>
    <x v="4"/>
    <x v="0"/>
    <x v="16"/>
    <n v="24437"/>
    <x v="3"/>
    <x v="0"/>
    <n v="27184"/>
    <n v="2747"/>
    <x v="5"/>
    <x v="369"/>
    <x v="0"/>
  </r>
  <r>
    <x v="371"/>
    <x v="4"/>
    <x v="0"/>
    <x v="16"/>
    <n v="44598"/>
    <x v="2"/>
    <x v="1"/>
    <n v="48990"/>
    <n v="4392"/>
    <x v="7"/>
    <x v="370"/>
    <x v="0"/>
  </r>
  <r>
    <x v="372"/>
    <x v="4"/>
    <x v="2"/>
    <x v="35"/>
    <n v="6573"/>
    <x v="1"/>
    <x v="0"/>
    <n v="7239"/>
    <n v="666"/>
    <x v="4"/>
    <x v="371"/>
    <x v="0"/>
  </r>
  <r>
    <x v="373"/>
    <x v="5"/>
    <x v="0"/>
    <x v="42"/>
    <n v="19791"/>
    <x v="1"/>
    <x v="0"/>
    <n v="25266"/>
    <n v="5475"/>
    <x v="6"/>
    <x v="372"/>
    <x v="0"/>
  </r>
  <r>
    <x v="374"/>
    <x v="5"/>
    <x v="2"/>
    <x v="22"/>
    <n v="2504"/>
    <x v="3"/>
    <x v="0"/>
    <n v="2825"/>
    <n v="321"/>
    <x v="0"/>
    <x v="373"/>
    <x v="0"/>
  </r>
  <r>
    <x v="375"/>
    <x v="5"/>
    <x v="1"/>
    <x v="21"/>
    <n v="20546"/>
    <x v="0"/>
    <x v="0"/>
    <n v="30607"/>
    <n v="10061"/>
    <x v="0"/>
    <x v="374"/>
    <x v="0"/>
  </r>
  <r>
    <x v="376"/>
    <x v="5"/>
    <x v="1"/>
    <x v="21"/>
    <n v="146985"/>
    <x v="3"/>
    <x v="0"/>
    <n v="169236"/>
    <n v="22251"/>
    <x v="1"/>
    <x v="375"/>
    <x v="0"/>
  </r>
  <r>
    <x v="377"/>
    <x v="5"/>
    <x v="3"/>
    <x v="41"/>
    <n v="131705"/>
    <x v="1"/>
    <x v="0"/>
    <n v="138176"/>
    <n v="6471"/>
    <x v="4"/>
    <x v="376"/>
    <x v="0"/>
  </r>
  <r>
    <x v="378"/>
    <x v="5"/>
    <x v="3"/>
    <x v="41"/>
    <n v="40515"/>
    <x v="3"/>
    <x v="0"/>
    <n v="49467"/>
    <n v="8952"/>
    <x v="9"/>
    <x v="377"/>
    <x v="0"/>
  </r>
  <r>
    <x v="379"/>
    <x v="5"/>
    <x v="2"/>
    <x v="22"/>
    <n v="5401"/>
    <x v="1"/>
    <x v="1"/>
    <n v="6717"/>
    <n v="1316"/>
    <x v="8"/>
    <x v="378"/>
    <x v="0"/>
  </r>
  <r>
    <x v="380"/>
    <x v="0"/>
    <x v="3"/>
    <x v="44"/>
    <n v="178460"/>
    <x v="2"/>
    <x v="0"/>
    <n v="195842"/>
    <n v="17382"/>
    <x v="5"/>
    <x v="379"/>
    <x v="0"/>
  </r>
  <r>
    <x v="381"/>
    <x v="0"/>
    <x v="7"/>
    <x v="28"/>
    <n v="19141"/>
    <x v="2"/>
    <x v="1"/>
    <n v="25181"/>
    <n v="6040"/>
    <x v="5"/>
    <x v="380"/>
    <x v="0"/>
  </r>
  <r>
    <x v="382"/>
    <x v="0"/>
    <x v="7"/>
    <x v="28"/>
    <n v="11657"/>
    <x v="0"/>
    <x v="0"/>
    <n v="16712"/>
    <n v="5055"/>
    <x v="9"/>
    <x v="381"/>
    <x v="0"/>
  </r>
  <r>
    <x v="383"/>
    <x v="0"/>
    <x v="7"/>
    <x v="28"/>
    <n v="23510"/>
    <x v="3"/>
    <x v="0"/>
    <n v="28683"/>
    <n v="5173"/>
    <x v="7"/>
    <x v="382"/>
    <x v="0"/>
  </r>
  <r>
    <x v="384"/>
    <x v="0"/>
    <x v="3"/>
    <x v="44"/>
    <n v="139967"/>
    <x v="2"/>
    <x v="0"/>
    <n v="151383"/>
    <n v="11416"/>
    <x v="4"/>
    <x v="383"/>
    <x v="0"/>
  </r>
  <r>
    <x v="385"/>
    <x v="0"/>
    <x v="5"/>
    <x v="26"/>
    <n v="11451"/>
    <x v="3"/>
    <x v="0"/>
    <n v="15384"/>
    <n v="3933"/>
    <x v="4"/>
    <x v="384"/>
    <x v="0"/>
  </r>
  <r>
    <x v="386"/>
    <x v="0"/>
    <x v="2"/>
    <x v="2"/>
    <n v="3016"/>
    <x v="2"/>
    <x v="0"/>
    <n v="3773"/>
    <n v="757"/>
    <x v="5"/>
    <x v="385"/>
    <x v="0"/>
  </r>
  <r>
    <x v="387"/>
    <x v="0"/>
    <x v="2"/>
    <x v="2"/>
    <n v="5177"/>
    <x v="3"/>
    <x v="0"/>
    <n v="6916"/>
    <n v="1739"/>
    <x v="8"/>
    <x v="386"/>
    <x v="0"/>
  </r>
  <r>
    <x v="388"/>
    <x v="1"/>
    <x v="1"/>
    <x v="47"/>
    <n v="95375"/>
    <x v="2"/>
    <x v="0"/>
    <n v="140998"/>
    <n v="45623"/>
    <x v="0"/>
    <x v="387"/>
    <x v="0"/>
  </r>
  <r>
    <x v="389"/>
    <x v="1"/>
    <x v="3"/>
    <x v="3"/>
    <n v="89591"/>
    <x v="0"/>
    <x v="0"/>
    <n v="106201"/>
    <n v="16610"/>
    <x v="2"/>
    <x v="388"/>
    <x v="0"/>
  </r>
  <r>
    <x v="390"/>
    <x v="1"/>
    <x v="7"/>
    <x v="29"/>
    <n v="16936"/>
    <x v="2"/>
    <x v="0"/>
    <n v="21706"/>
    <n v="4770"/>
    <x v="8"/>
    <x v="389"/>
    <x v="0"/>
  </r>
  <r>
    <x v="391"/>
    <x v="1"/>
    <x v="4"/>
    <x v="4"/>
    <n v="51348"/>
    <x v="2"/>
    <x v="0"/>
    <n v="67928"/>
    <n v="16580"/>
    <x v="7"/>
    <x v="390"/>
    <x v="0"/>
  </r>
  <r>
    <x v="392"/>
    <x v="2"/>
    <x v="7"/>
    <x v="32"/>
    <n v="12659"/>
    <x v="0"/>
    <x v="0"/>
    <n v="17929"/>
    <n v="5270"/>
    <x v="8"/>
    <x v="391"/>
    <x v="0"/>
  </r>
  <r>
    <x v="393"/>
    <x v="2"/>
    <x v="2"/>
    <x v="31"/>
    <n v="7032"/>
    <x v="2"/>
    <x v="0"/>
    <n v="7788"/>
    <n v="756"/>
    <x v="4"/>
    <x v="392"/>
    <x v="0"/>
  </r>
  <r>
    <x v="394"/>
    <x v="2"/>
    <x v="2"/>
    <x v="31"/>
    <n v="1814"/>
    <x v="2"/>
    <x v="0"/>
    <n v="2109"/>
    <n v="295"/>
    <x v="8"/>
    <x v="393"/>
    <x v="0"/>
  </r>
  <r>
    <x v="395"/>
    <x v="2"/>
    <x v="2"/>
    <x v="31"/>
    <n v="2794"/>
    <x v="2"/>
    <x v="0"/>
    <n v="4173"/>
    <n v="1379"/>
    <x v="4"/>
    <x v="394"/>
    <x v="0"/>
  </r>
  <r>
    <x v="396"/>
    <x v="3"/>
    <x v="5"/>
    <x v="13"/>
    <n v="5522"/>
    <x v="0"/>
    <x v="0"/>
    <n v="7007"/>
    <n v="1485"/>
    <x v="6"/>
    <x v="395"/>
    <x v="0"/>
  </r>
  <r>
    <x v="397"/>
    <x v="3"/>
    <x v="0"/>
    <x v="15"/>
    <n v="23269"/>
    <x v="2"/>
    <x v="0"/>
    <n v="34638"/>
    <n v="11369"/>
    <x v="3"/>
    <x v="396"/>
    <x v="0"/>
  </r>
  <r>
    <x v="398"/>
    <x v="3"/>
    <x v="7"/>
    <x v="39"/>
    <n v="21811"/>
    <x v="2"/>
    <x v="0"/>
    <n v="23992"/>
    <n v="2181"/>
    <x v="2"/>
    <x v="397"/>
    <x v="0"/>
  </r>
  <r>
    <x v="399"/>
    <x v="3"/>
    <x v="7"/>
    <x v="39"/>
    <n v="21241"/>
    <x v="1"/>
    <x v="0"/>
    <n v="26881"/>
    <n v="5640"/>
    <x v="4"/>
    <x v="398"/>
    <x v="0"/>
  </r>
  <r>
    <x v="400"/>
    <x v="3"/>
    <x v="5"/>
    <x v="13"/>
    <n v="13659"/>
    <x v="3"/>
    <x v="0"/>
    <n v="16704"/>
    <n v="3045"/>
    <x v="6"/>
    <x v="399"/>
    <x v="0"/>
  </r>
  <r>
    <x v="401"/>
    <x v="3"/>
    <x v="3"/>
    <x v="33"/>
    <n v="104949"/>
    <x v="0"/>
    <x v="0"/>
    <n v="122424"/>
    <n v="17475"/>
    <x v="1"/>
    <x v="400"/>
    <x v="0"/>
  </r>
  <r>
    <x v="402"/>
    <x v="3"/>
    <x v="1"/>
    <x v="11"/>
    <n v="41245"/>
    <x v="2"/>
    <x v="0"/>
    <n v="54490"/>
    <n v="13245"/>
    <x v="7"/>
    <x v="401"/>
    <x v="0"/>
  </r>
  <r>
    <x v="403"/>
    <x v="3"/>
    <x v="6"/>
    <x v="14"/>
    <n v="72143"/>
    <x v="2"/>
    <x v="0"/>
    <n v="85615"/>
    <n v="13472"/>
    <x v="9"/>
    <x v="402"/>
    <x v="0"/>
  </r>
  <r>
    <x v="404"/>
    <x v="4"/>
    <x v="3"/>
    <x v="34"/>
    <n v="84094"/>
    <x v="1"/>
    <x v="0"/>
    <n v="108263"/>
    <n v="24169"/>
    <x v="1"/>
    <x v="403"/>
    <x v="0"/>
  </r>
  <r>
    <x v="405"/>
    <x v="4"/>
    <x v="0"/>
    <x v="16"/>
    <n v="36849"/>
    <x v="1"/>
    <x v="1"/>
    <n v="39764"/>
    <n v="2915"/>
    <x v="6"/>
    <x v="404"/>
    <x v="0"/>
  </r>
  <r>
    <x v="406"/>
    <x v="4"/>
    <x v="2"/>
    <x v="35"/>
    <n v="6659"/>
    <x v="2"/>
    <x v="0"/>
    <n v="6902"/>
    <n v="243"/>
    <x v="6"/>
    <x v="405"/>
    <x v="0"/>
  </r>
  <r>
    <x v="407"/>
    <x v="4"/>
    <x v="1"/>
    <x v="19"/>
    <n v="96620"/>
    <x v="0"/>
    <x v="0"/>
    <n v="100148"/>
    <n v="3528"/>
    <x v="9"/>
    <x v="406"/>
    <x v="0"/>
  </r>
  <r>
    <x v="408"/>
    <x v="4"/>
    <x v="6"/>
    <x v="18"/>
    <n v="57620"/>
    <x v="2"/>
    <x v="0"/>
    <n v="74178"/>
    <n v="16558"/>
    <x v="7"/>
    <x v="407"/>
    <x v="0"/>
  </r>
  <r>
    <x v="409"/>
    <x v="4"/>
    <x v="5"/>
    <x v="17"/>
    <n v="7998"/>
    <x v="3"/>
    <x v="1"/>
    <n v="8600"/>
    <n v="602"/>
    <x v="2"/>
    <x v="408"/>
    <x v="0"/>
  </r>
  <r>
    <x v="410"/>
    <x v="4"/>
    <x v="3"/>
    <x v="34"/>
    <n v="181340"/>
    <x v="0"/>
    <x v="1"/>
    <n v="241672"/>
    <n v="60332"/>
    <x v="3"/>
    <x v="409"/>
    <x v="0"/>
  </r>
  <r>
    <x v="411"/>
    <x v="5"/>
    <x v="2"/>
    <x v="22"/>
    <n v="3027"/>
    <x v="1"/>
    <x v="0"/>
    <n v="3302"/>
    <n v="275"/>
    <x v="9"/>
    <x v="410"/>
    <x v="0"/>
  </r>
  <r>
    <x v="412"/>
    <x v="5"/>
    <x v="0"/>
    <x v="42"/>
    <n v="23460"/>
    <x v="3"/>
    <x v="0"/>
    <n v="33672"/>
    <n v="10212"/>
    <x v="5"/>
    <x v="411"/>
    <x v="0"/>
  </r>
  <r>
    <x v="413"/>
    <x v="5"/>
    <x v="4"/>
    <x v="24"/>
    <n v="40530"/>
    <x v="0"/>
    <x v="0"/>
    <n v="45251"/>
    <n v="4721"/>
    <x v="3"/>
    <x v="412"/>
    <x v="0"/>
  </r>
  <r>
    <x v="414"/>
    <x v="5"/>
    <x v="0"/>
    <x v="42"/>
    <n v="26583"/>
    <x v="3"/>
    <x v="0"/>
    <n v="26921"/>
    <n v="338"/>
    <x v="7"/>
    <x v="41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
  <r>
    <s v="EXP-5001"/>
    <x v="0"/>
    <s v="Software"/>
    <s v="Software expense - Engineering"/>
    <n v="7099"/>
    <s v="Cash"/>
    <s v="Yes"/>
    <n v="8386"/>
    <n v="1287"/>
    <s v="PrintZone"/>
    <s v="INV-46989"/>
    <s v="2026"/>
  </r>
  <r>
    <s v="EXP-5002"/>
    <x v="0"/>
    <s v="Marketing"/>
    <s v="Marketing expense - Engineering"/>
    <n v="37909"/>
    <s v="Credit Card"/>
    <s v="Yes"/>
    <n v="39147"/>
    <n v="1238"/>
    <s v="PrintZone"/>
    <s v="INV-82311"/>
    <s v="2026"/>
  </r>
  <r>
    <s v="EXP-5003"/>
    <x v="0"/>
    <s v="Office Supplies"/>
    <s v="Office Supplies expense - Engineering"/>
    <n v="5729"/>
    <s v="Cash"/>
    <s v="Yes"/>
    <n v="8391"/>
    <n v="2662"/>
    <s v="AdPro Media"/>
    <s v="INV-84029"/>
    <s v="2026"/>
  </r>
  <r>
    <s v="EXP-5004"/>
    <x v="1"/>
    <s v="Consulting"/>
    <s v="Consulting expense - Marketing"/>
    <n v="21974"/>
    <s v="Cash"/>
    <s v="Yes"/>
    <n v="22502"/>
    <n v="528"/>
    <s v="PowerGrid Co"/>
    <s v="INV-47015"/>
    <s v="2026"/>
  </r>
  <r>
    <s v="EXP-5005"/>
    <x v="1"/>
    <s v="Equipment"/>
    <s v="Equipment expense - Marketing"/>
    <n v="70564"/>
    <s v="Cheque"/>
    <s v="Yes"/>
    <n v="77440"/>
    <n v="6876"/>
    <s v="CloudSoft"/>
    <s v="INV-98432"/>
    <s v="2026"/>
  </r>
  <r>
    <s v="EXP-5006"/>
    <x v="1"/>
    <s v="Software"/>
    <s v="Software expense - Marketing"/>
    <n v="23713"/>
    <s v="Credit Card"/>
    <s v="No"/>
    <n v="28542"/>
    <n v="4829"/>
    <s v="CloudSoft"/>
    <s v="INV-13104"/>
    <s v="2026"/>
  </r>
  <r>
    <s v="EXP-5007"/>
    <x v="2"/>
    <s v="Equipment"/>
    <s v="Equipment expense - Sales"/>
    <n v="67515"/>
    <s v="Credit Card"/>
    <s v="Yes"/>
    <n v="87309"/>
    <n v="19794"/>
    <s v="CloudSoft"/>
    <s v="INV-29862"/>
    <s v="2026"/>
  </r>
  <r>
    <s v="EXP-5008"/>
    <x v="2"/>
    <s v="Consulting"/>
    <s v="Consulting expense - Sales"/>
    <n v="30644"/>
    <s v="Bank Transfer"/>
    <s v="Yes"/>
    <n v="44207"/>
    <n v="13563"/>
    <s v="CloudSoft"/>
    <s v="INV-31108"/>
    <s v="2026"/>
  </r>
  <r>
    <s v="EXP-5009"/>
    <x v="2"/>
    <s v="Utilities"/>
    <s v="Utilities expense - Sales"/>
    <n v="8331"/>
    <s v="Cash"/>
    <s v="Yes"/>
    <n v="11602"/>
    <n v="3271"/>
    <s v="AdPro Media"/>
    <s v="INV-66479"/>
    <s v="2026"/>
  </r>
  <r>
    <s v="EXP-5010"/>
    <x v="2"/>
    <s v="Travel"/>
    <s v="Travel expense - Sales"/>
    <n v="55807"/>
    <s v="Credit Card"/>
    <s v="Yes"/>
    <n v="62479"/>
    <n v="6672"/>
    <s v="AdPro Media"/>
    <s v="INV-92285"/>
    <s v="2026"/>
  </r>
  <r>
    <s v="EXP-5011"/>
    <x v="2"/>
    <s v="Consulting"/>
    <s v="Consulting expense - Sales"/>
    <n v="35534"/>
    <s v="Cash"/>
    <s v="No"/>
    <n v="49832"/>
    <n v="14298"/>
    <s v="QuickTravel"/>
    <s v="INV-75393"/>
    <s v="2026"/>
  </r>
  <r>
    <s v="EXP-5012"/>
    <x v="2"/>
    <s v="Software"/>
    <s v="Software expense - Sales"/>
    <n v="31806"/>
    <s v="Bank Transfer"/>
    <s v="Yes"/>
    <n v="36795"/>
    <n v="4989"/>
    <s v="SkillUp Academy"/>
    <s v="INV-85564"/>
    <s v="2026"/>
  </r>
  <r>
    <s v="EXP-5013"/>
    <x v="2"/>
    <s v="Utilities"/>
    <s v="Utilities expense - Sales"/>
    <n v="6789"/>
    <s v="Cheque"/>
    <s v="Yes"/>
    <n v="7092"/>
    <n v="303"/>
    <s v="Strategy Consultants"/>
    <s v="INV-43557"/>
    <s v="2026"/>
  </r>
  <r>
    <s v="EXP-5014"/>
    <x v="3"/>
    <s v="Marketing"/>
    <s v="Marketing expense - HR"/>
    <n v="42497"/>
    <s v="Credit Card"/>
    <s v="Yes"/>
    <n v="63144"/>
    <n v="20647"/>
    <s v="SkillUp Academy"/>
    <s v="INV-62551"/>
    <s v="2026"/>
  </r>
  <r>
    <s v="EXP-5015"/>
    <x v="3"/>
    <s v="Equipment"/>
    <s v="Equipment expense - HR"/>
    <n v="117328"/>
    <s v="Bank Transfer"/>
    <s v="Yes"/>
    <n v="153681"/>
    <n v="36353"/>
    <s v="PowerGrid Co"/>
    <s v="INV-77171"/>
    <s v="2026"/>
  </r>
  <r>
    <s v="EXP-5016"/>
    <x v="3"/>
    <s v="Utilities"/>
    <s v="Utilities expense - HR"/>
    <n v="7122"/>
    <s v="Cheque"/>
    <s v="Yes"/>
    <n v="7419"/>
    <n v="297"/>
    <s v="TechMart India"/>
    <s v="INV-91345"/>
    <s v="2026"/>
  </r>
  <r>
    <s v="EXP-5017"/>
    <x v="3"/>
    <s v="Travel"/>
    <s v="Travel expense - HR"/>
    <n v="37088"/>
    <s v="Credit Card"/>
    <s v="Yes"/>
    <n v="50064"/>
    <n v="12976"/>
    <s v="QuickTravel"/>
    <s v="INV-48097"/>
    <s v="2026"/>
  </r>
  <r>
    <s v="EXP-5018"/>
    <x v="3"/>
    <s v="Equipment"/>
    <s v="Equipment expense - HR"/>
    <n v="25736"/>
    <s v="Credit Card"/>
    <s v="Yes"/>
    <n v="33072"/>
    <n v="7336"/>
    <s v="HardwarePro"/>
    <s v="INV-70591"/>
    <s v="2026"/>
  </r>
  <r>
    <s v="EXP-5019"/>
    <x v="3"/>
    <s v="Software"/>
    <s v="Software expense - HR"/>
    <n v="24867"/>
    <s v="Cheque"/>
    <s v="Yes"/>
    <n v="30659"/>
    <n v="5792"/>
    <s v="QuickTravel"/>
    <s v="INV-33628"/>
    <s v="2026"/>
  </r>
  <r>
    <s v="EXP-5020"/>
    <x v="4"/>
    <s v="Software"/>
    <s v="Software expense - Finance"/>
    <n v="28014"/>
    <s v="Cheque"/>
    <s v="Yes"/>
    <n v="38774"/>
    <n v="10760"/>
    <s v="QuickTravel"/>
    <s v="INV-51587"/>
    <s v="2026"/>
  </r>
  <r>
    <s v="EXP-5021"/>
    <x v="4"/>
    <s v="Utilities"/>
    <s v="Utilities expense - Finance"/>
    <n v="10901"/>
    <s v="Cheque"/>
    <s v="Yes"/>
    <n v="13552"/>
    <n v="2651"/>
    <s v="SkillUp Academy"/>
    <s v="INV-69582"/>
    <s v="2026"/>
  </r>
  <r>
    <s v="EXP-5022"/>
    <x v="4"/>
    <s v="Travel"/>
    <s v="Travel expense - Finance"/>
    <n v="76444"/>
    <s v="Bank Transfer"/>
    <s v="Yes"/>
    <n v="82397"/>
    <n v="5953"/>
    <s v="PowerGrid Co"/>
    <s v="INV-84475"/>
    <s v="2026"/>
  </r>
  <r>
    <s v="EXP-5023"/>
    <x v="4"/>
    <s v="Travel"/>
    <s v="Travel expense - Finance"/>
    <n v="54844"/>
    <s v="Cash"/>
    <s v="Yes"/>
    <n v="56555"/>
    <n v="1711"/>
    <s v="Strategy Consultants"/>
    <s v="INV-37973"/>
    <s v="2026"/>
  </r>
  <r>
    <s v="EXP-5024"/>
    <x v="4"/>
    <s v="Travel"/>
    <s v="Travel expense - Finance"/>
    <n v="32720"/>
    <s v="Cheque"/>
    <s v="Yes"/>
    <n v="46921"/>
    <n v="14201"/>
    <s v="SkillUp Academy"/>
    <s v="INV-93320"/>
    <s v="2026"/>
  </r>
  <r>
    <s v="EXP-5025"/>
    <x v="4"/>
    <s v="Marketing"/>
    <s v="Marketing expense - Finance"/>
    <n v="31912"/>
    <s v="Cheque"/>
    <s v="Yes"/>
    <n v="34174"/>
    <n v="2262"/>
    <s v="SkillUp Academy"/>
    <s v="INV-69168"/>
    <s v="2026"/>
  </r>
  <r>
    <s v="EXP-5026"/>
    <x v="4"/>
    <s v="Equipment"/>
    <s v="Equipment expense - Finance"/>
    <n v="73783"/>
    <s v="Bank Transfer"/>
    <s v="Yes"/>
    <n v="81682"/>
    <n v="7899"/>
    <s v="QuickTravel"/>
    <s v="INV-66168"/>
    <s v="2026"/>
  </r>
  <r>
    <s v="EXP-5027"/>
    <x v="4"/>
    <s v="Utilities"/>
    <s v="Utilities expense - Finance"/>
    <n v="13340"/>
    <s v="Cash"/>
    <s v="Yes"/>
    <n v="15320"/>
    <n v="1980"/>
    <s v="Strategy Consultants"/>
    <s v="INV-72324"/>
    <s v="2026"/>
  </r>
  <r>
    <s v="EXP-5028"/>
    <x v="5"/>
    <s v="Marketing"/>
    <s v="Marketing expense - Operations"/>
    <n v="124500"/>
    <s v="Cheque"/>
    <s v="Yes"/>
    <n v="146580"/>
    <n v="22080"/>
    <s v="GlobalTravel"/>
    <s v="INV-88266"/>
    <s v="2026"/>
  </r>
  <r>
    <s v="EXP-5029"/>
    <x v="5"/>
    <s v="Office Supplies"/>
    <s v="Office Supplies expense - Operations"/>
    <n v="1137"/>
    <s v="Bank Transfer"/>
    <s v="Yes"/>
    <n v="1548"/>
    <n v="411"/>
    <s v="PowerGrid Co"/>
    <s v="INV-11859"/>
    <s v="2026"/>
  </r>
  <r>
    <s v="EXP-5030"/>
    <x v="5"/>
    <s v="Marketing"/>
    <s v="Marketing expense - Operations"/>
    <n v="130234"/>
    <s v="Cash"/>
    <s v="Yes"/>
    <n v="191042"/>
    <n v="60808"/>
    <s v="HardwarePro"/>
    <s v="INV-44446"/>
    <s v="2026"/>
  </r>
  <r>
    <s v="EXP-5031"/>
    <x v="5"/>
    <s v="Travel"/>
    <s v="Travel expense - Operations"/>
    <n v="64055"/>
    <s v="Bank Transfer"/>
    <s v="Yes"/>
    <n v="94267"/>
    <n v="30212"/>
    <s v="AdPro Media"/>
    <s v="INV-22772"/>
    <s v="2026"/>
  </r>
  <r>
    <s v="EXP-5032"/>
    <x v="5"/>
    <s v="Travel"/>
    <s v="Travel expense - Operations"/>
    <n v="33655"/>
    <s v="Cheque"/>
    <s v="No"/>
    <n v="46203"/>
    <n v="12548"/>
    <s v="CloudSoft"/>
    <s v="INV-88766"/>
    <s v="2026"/>
  </r>
  <r>
    <s v="EXP-5033"/>
    <x v="5"/>
    <s v="Equipment"/>
    <s v="Equipment expense - Operations"/>
    <n v="33329"/>
    <s v="Credit Card"/>
    <s v="Yes"/>
    <n v="39130"/>
    <n v="5801"/>
    <s v="PowerGrid Co"/>
    <s v="INV-12122"/>
    <s v="2026"/>
  </r>
  <r>
    <s v="EXP-5034"/>
    <x v="5"/>
    <s v="Training"/>
    <s v="Training expense - Operations"/>
    <n v="13058"/>
    <s v="Credit Card"/>
    <s v="Yes"/>
    <n v="16336"/>
    <n v="3278"/>
    <s v="Strategy Consultants"/>
    <s v="INV-64270"/>
    <s v="2026"/>
  </r>
  <r>
    <s v="EXP-5035"/>
    <x v="0"/>
    <s v="Utilities"/>
    <s v="Utilities expense - Engineering"/>
    <n v="6770"/>
    <s v="Cash"/>
    <s v="Yes"/>
    <n v="9573"/>
    <n v="2803"/>
    <s v="CloudSoft"/>
    <s v="INV-70138"/>
    <s v="2026"/>
  </r>
  <r>
    <s v="EXP-5036"/>
    <x v="0"/>
    <s v="Equipment"/>
    <s v="Equipment expense - Engineering"/>
    <n v="53905"/>
    <s v="Bank Transfer"/>
    <s v="No"/>
    <n v="58673"/>
    <n v="4768"/>
    <s v="HardwarePro"/>
    <s v="INV-60012"/>
    <s v="2026"/>
  </r>
  <r>
    <s v="EXP-5037"/>
    <x v="0"/>
    <s v="Training"/>
    <s v="Training expense - Engineering"/>
    <n v="24613"/>
    <s v="Cash"/>
    <s v="No"/>
    <n v="33087"/>
    <n v="8474"/>
    <s v="QuickTravel"/>
    <s v="INV-21484"/>
    <s v="2026"/>
  </r>
  <r>
    <s v="EXP-5038"/>
    <x v="0"/>
    <s v="Software"/>
    <s v="Software expense - Engineering"/>
    <n v="7874"/>
    <s v="Cheque"/>
    <s v="Yes"/>
    <n v="10432"/>
    <n v="2558"/>
    <s v="Strategy Consultants"/>
    <s v="INV-91766"/>
    <s v="2026"/>
  </r>
  <r>
    <s v="EXP-5039"/>
    <x v="0"/>
    <s v="Software"/>
    <s v="Software expense - Engineering"/>
    <n v="43518"/>
    <s v="Credit Card"/>
    <s v="Yes"/>
    <n v="53181"/>
    <n v="9663"/>
    <s v="HardwarePro"/>
    <s v="INV-37770"/>
    <s v="2026"/>
  </r>
  <r>
    <s v="EXP-5040"/>
    <x v="0"/>
    <s v="Office Supplies"/>
    <s v="Office Supplies expense - Engineering"/>
    <n v="6864"/>
    <s v="Credit Card"/>
    <s v="Yes"/>
    <n v="8424"/>
    <n v="1560"/>
    <s v="Strategy Consultants"/>
    <s v="INV-26310"/>
    <s v="2026"/>
  </r>
  <r>
    <s v="EXP-5041"/>
    <x v="1"/>
    <s v="Consulting"/>
    <s v="Consulting expense - Marketing"/>
    <n v="118248"/>
    <s v="Cheque"/>
    <s v="Yes"/>
    <n v="171932"/>
    <n v="53684"/>
    <s v="PowerGrid Co"/>
    <s v="INV-39351"/>
    <s v="2026"/>
  </r>
  <r>
    <s v="EXP-5042"/>
    <x v="1"/>
    <s v="Training"/>
    <s v="Training expense - Marketing"/>
    <n v="11769"/>
    <s v="Cash"/>
    <s v="Yes"/>
    <n v="16945"/>
    <n v="5176"/>
    <s v="PrintZone"/>
    <s v="INV-10544"/>
    <s v="2026"/>
  </r>
  <r>
    <s v="EXP-5043"/>
    <x v="1"/>
    <s v="Equipment"/>
    <s v="Equipment expense - Marketing"/>
    <n v="9282"/>
    <s v="Cash"/>
    <s v="No"/>
    <n v="9354"/>
    <n v="72"/>
    <s v="AdPro Media"/>
    <s v="INV-51611"/>
    <s v="2026"/>
  </r>
  <r>
    <s v="EXP-5044"/>
    <x v="1"/>
    <s v="Utilities"/>
    <s v="Utilities expense - Marketing"/>
    <n v="3792"/>
    <s v="Bank Transfer"/>
    <s v="No"/>
    <n v="5611"/>
    <n v="1819"/>
    <s v="HardwarePro"/>
    <s v="INV-35252"/>
    <s v="2026"/>
  </r>
  <r>
    <s v="EXP-5045"/>
    <x v="1"/>
    <s v="Equipment"/>
    <s v="Equipment expense - Marketing"/>
    <n v="113599"/>
    <s v="Cheque"/>
    <s v="Yes"/>
    <n v="116529"/>
    <n v="2930"/>
    <s v="HardwarePro"/>
    <s v="INV-32769"/>
    <s v="2026"/>
  </r>
  <r>
    <s v="EXP-5046"/>
    <x v="2"/>
    <s v="Utilities"/>
    <s v="Utilities expense - Sales"/>
    <n v="9475"/>
    <s v="Credit Card"/>
    <s v="Yes"/>
    <n v="10226"/>
    <n v="751"/>
    <s v="GlobalTravel"/>
    <s v="INV-25515"/>
    <s v="2026"/>
  </r>
  <r>
    <s v="EXP-5047"/>
    <x v="2"/>
    <s v="Equipment"/>
    <s v="Equipment expense - Sales"/>
    <n v="115497"/>
    <s v="Bank Transfer"/>
    <s v="Yes"/>
    <n v="159511"/>
    <n v="44014"/>
    <s v="PrintZone"/>
    <s v="INV-22223"/>
    <s v="2026"/>
  </r>
  <r>
    <s v="EXP-5048"/>
    <x v="2"/>
    <s v="Software"/>
    <s v="Software expense - Sales"/>
    <n v="3680"/>
    <s v="Bank Transfer"/>
    <s v="Yes"/>
    <n v="4485"/>
    <n v="805"/>
    <s v="AdPro Media"/>
    <s v="INV-81260"/>
    <s v="2026"/>
  </r>
  <r>
    <s v="EXP-5049"/>
    <x v="2"/>
    <s v="Software"/>
    <s v="Software expense - Sales"/>
    <n v="39473"/>
    <s v="Bank Transfer"/>
    <s v="Yes"/>
    <n v="47020"/>
    <n v="7547"/>
    <s v="PowerGrid Co"/>
    <s v="INV-34452"/>
    <s v="2026"/>
  </r>
  <r>
    <s v="EXP-5050"/>
    <x v="2"/>
    <s v="Office Supplies"/>
    <s v="Office Supplies expense - Sales"/>
    <n v="5845"/>
    <s v="Bank Transfer"/>
    <s v="No"/>
    <n v="8469"/>
    <n v="2624"/>
    <s v="PrintZone"/>
    <s v="INV-59559"/>
    <s v="2026"/>
  </r>
  <r>
    <s v="EXP-5051"/>
    <x v="2"/>
    <s v="Training"/>
    <s v="Training expense - Sales"/>
    <n v="24602"/>
    <s v="Bank Transfer"/>
    <s v="Yes"/>
    <n v="25239"/>
    <n v="637"/>
    <s v="AdPro Media"/>
    <s v="INV-23555"/>
    <s v="2026"/>
  </r>
  <r>
    <s v="EXP-5052"/>
    <x v="3"/>
    <s v="Consulting"/>
    <s v="Consulting expense - HR"/>
    <n v="166210"/>
    <s v="Cash"/>
    <s v="Yes"/>
    <n v="176406"/>
    <n v="10196"/>
    <s v="CloudSoft"/>
    <s v="INV-22160"/>
    <s v="2026"/>
  </r>
  <r>
    <s v="EXP-5053"/>
    <x v="3"/>
    <s v="Software"/>
    <s v="Software expense - HR"/>
    <n v="34390"/>
    <s v="Bank Transfer"/>
    <s v="Yes"/>
    <n v="48913"/>
    <n v="14523"/>
    <s v="QuickTravel"/>
    <s v="INV-74361"/>
    <s v="2026"/>
  </r>
  <r>
    <s v="EXP-5054"/>
    <x v="3"/>
    <s v="Travel"/>
    <s v="Travel expense - HR"/>
    <n v="59230"/>
    <s v="Credit Card"/>
    <s v="Yes"/>
    <n v="61409"/>
    <n v="2179"/>
    <s v="HardwarePro"/>
    <s v="INV-59185"/>
    <s v="2026"/>
  </r>
  <r>
    <s v="EXP-5055"/>
    <x v="4"/>
    <s v="Consulting"/>
    <s v="Consulting expense - Finance"/>
    <n v="52232"/>
    <s v="Bank Transfer"/>
    <s v="No"/>
    <n v="56928"/>
    <n v="4696"/>
    <s v="AdPro Media"/>
    <s v="INV-14122"/>
    <s v="2026"/>
  </r>
  <r>
    <s v="EXP-5056"/>
    <x v="4"/>
    <s v="Software"/>
    <s v="Software expense - Finance"/>
    <n v="24466"/>
    <s v="Credit Card"/>
    <s v="Yes"/>
    <n v="36622"/>
    <n v="12156"/>
    <s v="GlobalTravel"/>
    <s v="INV-43357"/>
    <s v="2026"/>
  </r>
  <r>
    <s v="EXP-5057"/>
    <x v="4"/>
    <s v="Software"/>
    <s v="Software expense - Finance"/>
    <n v="14638"/>
    <s v="Credit Card"/>
    <s v="No"/>
    <n v="19074"/>
    <n v="4436"/>
    <s v="GlobalTravel"/>
    <s v="INV-29968"/>
    <s v="2026"/>
  </r>
  <r>
    <s v="EXP-5058"/>
    <x v="4"/>
    <s v="Office Supplies"/>
    <s v="Office Supplies expense - Finance"/>
    <n v="7601"/>
    <s v="Credit Card"/>
    <s v="Yes"/>
    <n v="8988"/>
    <n v="1387"/>
    <s v="CloudSoft"/>
    <s v="INV-38804"/>
    <s v="2026"/>
  </r>
  <r>
    <s v="EXP-5059"/>
    <x v="4"/>
    <s v="Software"/>
    <s v="Software expense - Finance"/>
    <n v="49693"/>
    <s v="Cash"/>
    <s v="Yes"/>
    <n v="66877"/>
    <n v="17184"/>
    <s v="Strategy Consultants"/>
    <s v="INV-36114"/>
    <s v="2026"/>
  </r>
  <r>
    <s v="EXP-5060"/>
    <x v="5"/>
    <s v="Utilities"/>
    <s v="Utilities expense - Operations"/>
    <n v="12601"/>
    <s v="Cheque"/>
    <s v="Yes"/>
    <n v="16076"/>
    <n v="3475"/>
    <s v="HardwarePro"/>
    <s v="INV-77194"/>
    <s v="2026"/>
  </r>
  <r>
    <s v="EXP-5061"/>
    <x v="5"/>
    <s v="Equipment"/>
    <s v="Equipment expense - Operations"/>
    <n v="30304"/>
    <s v="Cash"/>
    <s v="Yes"/>
    <n v="34093"/>
    <n v="3789"/>
    <s v="QuickTravel"/>
    <s v="INV-86499"/>
    <s v="2026"/>
  </r>
  <r>
    <s v="EXP-5062"/>
    <x v="5"/>
    <s v="Training"/>
    <s v="Training expense - Operations"/>
    <n v="8428"/>
    <s v="Cheque"/>
    <s v="Yes"/>
    <n v="11774"/>
    <n v="3346"/>
    <s v="Strategy Consultants"/>
    <s v="INV-65540"/>
    <s v="2026"/>
  </r>
  <r>
    <s v="EXP-5063"/>
    <x v="0"/>
    <s v="Training"/>
    <s v="Training expense - Engineering"/>
    <n v="29735"/>
    <s v="Cheque"/>
    <s v="Yes"/>
    <n v="34474"/>
    <n v="4739"/>
    <s v="PrintZone"/>
    <s v="INV-84336"/>
    <s v="2026"/>
  </r>
  <r>
    <s v="EXP-5064"/>
    <x v="0"/>
    <s v="Utilities"/>
    <s v="Utilities expense - Engineering"/>
    <n v="7126"/>
    <s v="Credit Card"/>
    <s v="Yes"/>
    <n v="10325"/>
    <n v="3199"/>
    <s v="CloudSoft"/>
    <s v="INV-14424"/>
    <s v="2026"/>
  </r>
  <r>
    <s v="EXP-5065"/>
    <x v="0"/>
    <s v="Training"/>
    <s v="Training expense - Engineering"/>
    <n v="22230"/>
    <s v="Cash"/>
    <s v="Yes"/>
    <n v="26785"/>
    <n v="4555"/>
    <s v="TechMart India"/>
    <s v="INV-25027"/>
    <s v="2026"/>
  </r>
  <r>
    <s v="EXP-5066"/>
    <x v="0"/>
    <s v="Marketing"/>
    <s v="Marketing expense - Engineering"/>
    <n v="94588"/>
    <s v="Cash"/>
    <s v="Yes"/>
    <n v="114895"/>
    <n v="20307"/>
    <s v="QuickTravel"/>
    <s v="INV-38204"/>
    <s v="2026"/>
  </r>
  <r>
    <s v="EXP-5067"/>
    <x v="0"/>
    <s v="Utilities"/>
    <s v="Utilities expense - Engineering"/>
    <n v="7094"/>
    <s v="Credit Card"/>
    <s v="Yes"/>
    <n v="7608"/>
    <n v="514"/>
    <s v="PowerGrid Co"/>
    <s v="INV-11428"/>
    <s v="2026"/>
  </r>
  <r>
    <s v="EXP-5068"/>
    <x v="0"/>
    <s v="Utilities"/>
    <s v="Utilities expense - Engineering"/>
    <n v="4502"/>
    <s v="Cash"/>
    <s v="Yes"/>
    <n v="5550"/>
    <n v="1048"/>
    <s v="GlobalTravel"/>
    <s v="INV-18681"/>
    <s v="2026"/>
  </r>
  <r>
    <s v="EXP-5069"/>
    <x v="0"/>
    <s v="Equipment"/>
    <s v="Equipment expense - Engineering"/>
    <n v="42173"/>
    <s v="Bank Transfer"/>
    <s v="Yes"/>
    <n v="54863"/>
    <n v="12690"/>
    <s v="GlobalTravel"/>
    <s v="INV-46444"/>
    <s v="2026"/>
  </r>
  <r>
    <s v="EXP-5070"/>
    <x v="1"/>
    <s v="Software"/>
    <s v="Software expense - Marketing"/>
    <n v="39614"/>
    <s v="Cheque"/>
    <s v="Yes"/>
    <n v="57295"/>
    <n v="17681"/>
    <s v="PowerGrid Co"/>
    <s v="INV-35971"/>
    <s v="2026"/>
  </r>
  <r>
    <s v="EXP-5071"/>
    <x v="1"/>
    <s v="Office Supplies"/>
    <s v="Office Supplies expense - Marketing"/>
    <n v="906"/>
    <s v="Credit Card"/>
    <s v="Yes"/>
    <n v="1270"/>
    <n v="364"/>
    <s v="HardwarePro"/>
    <s v="INV-25631"/>
    <s v="2026"/>
  </r>
  <r>
    <s v="EXP-5072"/>
    <x v="1"/>
    <s v="Software"/>
    <s v="Software expense - Marketing"/>
    <n v="31673"/>
    <s v="Cheque"/>
    <s v="Yes"/>
    <n v="34383"/>
    <n v="2710"/>
    <s v="AdPro Media"/>
    <s v="INV-12787"/>
    <s v="2026"/>
  </r>
  <r>
    <s v="EXP-5073"/>
    <x v="1"/>
    <s v="Training"/>
    <s v="Training expense - Marketing"/>
    <n v="3584"/>
    <s v="Credit Card"/>
    <s v="Yes"/>
    <n v="4737"/>
    <n v="1153"/>
    <s v="SkillUp Academy"/>
    <s v="INV-27178"/>
    <s v="2026"/>
  </r>
  <r>
    <s v="EXP-5074"/>
    <x v="1"/>
    <s v="Equipment"/>
    <s v="Equipment expense - Marketing"/>
    <n v="9850"/>
    <s v="Credit Card"/>
    <s v="Yes"/>
    <n v="14262"/>
    <n v="4412"/>
    <s v="TechMart India"/>
    <s v="INV-19103"/>
    <s v="2026"/>
  </r>
  <r>
    <s v="EXP-5075"/>
    <x v="1"/>
    <s v="Consulting"/>
    <s v="Consulting expense - Marketing"/>
    <n v="34935"/>
    <s v="Cash"/>
    <s v="Yes"/>
    <n v="49430"/>
    <n v="14495"/>
    <s v="PowerGrid Co"/>
    <s v="INV-55327"/>
    <s v="2026"/>
  </r>
  <r>
    <s v="EXP-5076"/>
    <x v="1"/>
    <s v="Equipment"/>
    <s v="Equipment expense - Marketing"/>
    <n v="15455"/>
    <s v="Cheque"/>
    <s v="No"/>
    <n v="19755"/>
    <n v="4300"/>
    <s v="TechMart India"/>
    <s v="INV-61554"/>
    <s v="2026"/>
  </r>
  <r>
    <s v="EXP-5077"/>
    <x v="1"/>
    <s v="Training"/>
    <s v="Training expense - Marketing"/>
    <n v="25821"/>
    <s v="Credit Card"/>
    <s v="Yes"/>
    <n v="38525"/>
    <n v="12704"/>
    <s v="AdPro Media"/>
    <s v="INV-23466"/>
    <s v="2026"/>
  </r>
  <r>
    <s v="EXP-5078"/>
    <x v="2"/>
    <s v="Office Supplies"/>
    <s v="Office Supplies expense - Sales"/>
    <n v="891"/>
    <s v="Credit Card"/>
    <s v="Yes"/>
    <n v="1259"/>
    <n v="368"/>
    <s v="HardwarePro"/>
    <s v="INV-39667"/>
    <s v="2026"/>
  </r>
  <r>
    <s v="EXP-5079"/>
    <x v="2"/>
    <s v="Marketing"/>
    <s v="Marketing expense - Sales"/>
    <n v="33073"/>
    <s v="Cash"/>
    <s v="No"/>
    <n v="36234"/>
    <n v="3161"/>
    <s v="TechMart India"/>
    <s v="INV-16880"/>
    <s v="2026"/>
  </r>
  <r>
    <s v="EXP-5080"/>
    <x v="2"/>
    <s v="Training"/>
    <s v="Training expense - Sales"/>
    <n v="28721"/>
    <s v="Cash"/>
    <s v="Yes"/>
    <n v="29340"/>
    <n v="619"/>
    <s v="SkillUp Academy"/>
    <s v="INV-53165"/>
    <s v="2026"/>
  </r>
  <r>
    <s v="EXP-5081"/>
    <x v="3"/>
    <s v="Equipment"/>
    <s v="Equipment expense - HR"/>
    <n v="40377"/>
    <s v="Cheque"/>
    <s v="Yes"/>
    <n v="54482"/>
    <n v="14105"/>
    <s v="CloudSoft"/>
    <s v="INV-51855"/>
    <s v="2026"/>
  </r>
  <r>
    <s v="EXP-5082"/>
    <x v="3"/>
    <s v="Marketing"/>
    <s v="Marketing expense - HR"/>
    <n v="118342"/>
    <s v="Credit Card"/>
    <s v="No"/>
    <n v="156028"/>
    <n v="37686"/>
    <s v="GlobalTravel"/>
    <s v="INV-41525"/>
    <s v="2026"/>
  </r>
  <r>
    <s v="EXP-5083"/>
    <x v="3"/>
    <s v="Consulting"/>
    <s v="Consulting expense - HR"/>
    <n v="183347"/>
    <s v="Cash"/>
    <s v="Yes"/>
    <n v="228277"/>
    <n v="44930"/>
    <s v="PrintZone"/>
    <s v="INV-22032"/>
    <s v="2026"/>
  </r>
  <r>
    <s v="EXP-5084"/>
    <x v="3"/>
    <s v="Training"/>
    <s v="Training expense - HR"/>
    <n v="28106"/>
    <s v="Cash"/>
    <s v="No"/>
    <n v="32269"/>
    <n v="4163"/>
    <s v="PrintZone"/>
    <s v="INV-96439"/>
    <s v="2026"/>
  </r>
  <r>
    <s v="EXP-5085"/>
    <x v="3"/>
    <s v="Office Supplies"/>
    <s v="Office Supplies expense - HR"/>
    <n v="6193"/>
    <s v="Credit Card"/>
    <s v="Yes"/>
    <n v="6435"/>
    <n v="242"/>
    <s v="TechMart India"/>
    <s v="INV-97883"/>
    <s v="2026"/>
  </r>
  <r>
    <s v="EXP-5086"/>
    <x v="3"/>
    <s v="Office Supplies"/>
    <s v="Office Supplies expense - HR"/>
    <n v="4335"/>
    <s v="Cheque"/>
    <s v="Yes"/>
    <n v="6109"/>
    <n v="1774"/>
    <s v="PowerGrid Co"/>
    <s v="INV-37349"/>
    <s v="2026"/>
  </r>
  <r>
    <s v="EXP-5087"/>
    <x v="3"/>
    <s v="Utilities"/>
    <s v="Utilities expense - HR"/>
    <n v="13459"/>
    <s v="Cheque"/>
    <s v="Yes"/>
    <n v="19814"/>
    <n v="6355"/>
    <s v="GlobalTravel"/>
    <s v="INV-23849"/>
    <s v="2026"/>
  </r>
  <r>
    <s v="EXP-5088"/>
    <x v="3"/>
    <s v="Marketing"/>
    <s v="Marketing expense - HR"/>
    <n v="67353"/>
    <s v="Cheque"/>
    <s v="No"/>
    <n v="98224"/>
    <n v="30871"/>
    <s v="GlobalTravel"/>
    <s v="INV-36610"/>
    <s v="2026"/>
  </r>
  <r>
    <s v="EXP-5089"/>
    <x v="4"/>
    <s v="Office Supplies"/>
    <s v="Office Supplies expense - Finance"/>
    <n v="1062"/>
    <s v="Cash"/>
    <s v="No"/>
    <n v="1210"/>
    <n v="148"/>
    <s v="QuickTravel"/>
    <s v="INV-29305"/>
    <s v="2026"/>
  </r>
  <r>
    <s v="EXP-5090"/>
    <x v="4"/>
    <s v="Consulting"/>
    <s v="Consulting expense - Finance"/>
    <n v="38094"/>
    <s v="Credit Card"/>
    <s v="Yes"/>
    <n v="52285"/>
    <n v="14191"/>
    <s v="CloudSoft"/>
    <s v="INV-44964"/>
    <s v="2026"/>
  </r>
  <r>
    <s v="EXP-5091"/>
    <x v="4"/>
    <s v="Travel"/>
    <s v="Travel expense - Finance"/>
    <n v="67421"/>
    <s v="Cash"/>
    <s v="Yes"/>
    <n v="89733"/>
    <n v="22312"/>
    <s v="QuickTravel"/>
    <s v="INV-82129"/>
    <s v="2026"/>
  </r>
  <r>
    <s v="EXP-5092"/>
    <x v="4"/>
    <s v="Software"/>
    <s v="Software expense - Finance"/>
    <n v="25227"/>
    <s v="Cheque"/>
    <s v="No"/>
    <n v="30669"/>
    <n v="5442"/>
    <s v="HardwarePro"/>
    <s v="INV-76574"/>
    <s v="2026"/>
  </r>
  <r>
    <s v="EXP-5093"/>
    <x v="4"/>
    <s v="Utilities"/>
    <s v="Utilities expense - Finance"/>
    <n v="1870"/>
    <s v="Credit Card"/>
    <s v="Yes"/>
    <n v="2283"/>
    <n v="413"/>
    <s v="HardwarePro"/>
    <s v="INV-65389"/>
    <s v="2026"/>
  </r>
  <r>
    <s v="EXP-5094"/>
    <x v="4"/>
    <s v="Office Supplies"/>
    <s v="Office Supplies expense - Finance"/>
    <n v="2908"/>
    <s v="Cash"/>
    <s v="No"/>
    <n v="3183"/>
    <n v="275"/>
    <s v="AdPro Media"/>
    <s v="INV-74699"/>
    <s v="2026"/>
  </r>
  <r>
    <s v="EXP-5095"/>
    <x v="5"/>
    <s v="Equipment"/>
    <s v="Equipment expense - Operations"/>
    <n v="19311"/>
    <s v="Bank Transfer"/>
    <s v="Yes"/>
    <n v="25888"/>
    <n v="6577"/>
    <s v="PrintZone"/>
    <s v="INV-25097"/>
    <s v="2026"/>
  </r>
  <r>
    <s v="EXP-5096"/>
    <x v="5"/>
    <s v="Travel"/>
    <s v="Travel expense - Operations"/>
    <n v="9677"/>
    <s v="Credit Card"/>
    <s v="No"/>
    <n v="12460"/>
    <n v="2783"/>
    <s v="QuickTravel"/>
    <s v="INV-46105"/>
    <s v="2026"/>
  </r>
  <r>
    <s v="EXP-5097"/>
    <x v="5"/>
    <s v="Office Supplies"/>
    <s v="Office Supplies expense - Operations"/>
    <n v="7730"/>
    <s v="Cheque"/>
    <s v="Yes"/>
    <n v="10127"/>
    <n v="2397"/>
    <s v="HardwarePro"/>
    <s v="INV-23278"/>
    <s v="2026"/>
  </r>
  <r>
    <s v="EXP-5098"/>
    <x v="5"/>
    <s v="Office Supplies"/>
    <s v="Office Supplies expense - Operations"/>
    <n v="6512"/>
    <s v="Cash"/>
    <s v="Yes"/>
    <n v="9195"/>
    <n v="2683"/>
    <s v="PrintZone"/>
    <s v="INV-32417"/>
    <s v="2026"/>
  </r>
  <r>
    <s v="EXP-5099"/>
    <x v="5"/>
    <s v="Office Supplies"/>
    <s v="Office Supplies expense - Operations"/>
    <n v="3347"/>
    <s v="Cash"/>
    <s v="Yes"/>
    <n v="4413"/>
    <n v="1066"/>
    <s v="QuickTravel"/>
    <s v="INV-34258"/>
    <s v="2026"/>
  </r>
  <r>
    <s v="EXP-5100"/>
    <x v="5"/>
    <s v="Consulting"/>
    <s v="Consulting expense - Operations"/>
    <n v="90038"/>
    <s v="Bank Transfer"/>
    <s v="Yes"/>
    <n v="128420"/>
    <n v="38382"/>
    <s v="PowerGrid Co"/>
    <s v="INV-99318"/>
    <s v="2026"/>
  </r>
  <r>
    <s v="EXP-5101"/>
    <x v="5"/>
    <s v="Software"/>
    <s v="Software expense - Operations"/>
    <n v="12921"/>
    <s v="Bank Transfer"/>
    <s v="Yes"/>
    <n v="14131"/>
    <n v="1210"/>
    <s v="Strategy Consultants"/>
    <s v="INV-66088"/>
    <s v="2026"/>
  </r>
  <r>
    <s v="EXP-5102"/>
    <x v="0"/>
    <s v="Travel"/>
    <s v="Travel expense - Engineering"/>
    <n v="28267"/>
    <s v="Bank Transfer"/>
    <s v="Yes"/>
    <n v="42038"/>
    <n v="13771"/>
    <s v="AdPro Media"/>
    <s v="INV-56156"/>
    <s v="2026"/>
  </r>
  <r>
    <s v="EXP-5103"/>
    <x v="0"/>
    <s v="Consulting"/>
    <s v="Consulting expense - Engineering"/>
    <n v="162871"/>
    <s v="Bank Transfer"/>
    <s v="Yes"/>
    <n v="162953"/>
    <n v="82"/>
    <s v="QuickTravel"/>
    <s v="INV-15921"/>
    <s v="2026"/>
  </r>
  <r>
    <s v="EXP-5104"/>
    <x v="0"/>
    <s v="Travel"/>
    <s v="Travel expense - Engineering"/>
    <n v="79352"/>
    <s v="Bank Transfer"/>
    <s v="No"/>
    <n v="106334"/>
    <n v="26982"/>
    <s v="GlobalTravel"/>
    <s v="INV-31928"/>
    <s v="2026"/>
  </r>
  <r>
    <s v="EXP-5105"/>
    <x v="0"/>
    <s v="Marketing"/>
    <s v="Marketing expense - Engineering"/>
    <n v="34617"/>
    <s v="Cash"/>
    <s v="Yes"/>
    <n v="36348"/>
    <n v="1731"/>
    <s v="Strategy Consultants"/>
    <s v="INV-55977"/>
    <s v="2026"/>
  </r>
  <r>
    <s v="EXP-5106"/>
    <x v="0"/>
    <s v="Training"/>
    <s v="Training expense - Engineering"/>
    <n v="24738"/>
    <s v="Cheque"/>
    <s v="Yes"/>
    <n v="30755"/>
    <n v="6017"/>
    <s v="PowerGrid Co"/>
    <s v="INV-49470"/>
    <s v="2026"/>
  </r>
  <r>
    <s v="EXP-5107"/>
    <x v="1"/>
    <s v="Utilities"/>
    <s v="Utilities expense - Marketing"/>
    <n v="9484"/>
    <s v="Cheque"/>
    <s v="Yes"/>
    <n v="13157"/>
    <n v="3673"/>
    <s v="SkillUp Academy"/>
    <s v="INV-99887"/>
    <s v="2026"/>
  </r>
  <r>
    <s v="EXP-5108"/>
    <x v="1"/>
    <s v="Travel"/>
    <s v="Travel expense - Marketing"/>
    <n v="24385"/>
    <s v="Bank Transfer"/>
    <s v="Yes"/>
    <n v="36317"/>
    <n v="11932"/>
    <s v="PowerGrid Co"/>
    <s v="INV-75251"/>
    <s v="2026"/>
  </r>
  <r>
    <s v="EXP-5109"/>
    <x v="1"/>
    <s v="Travel"/>
    <s v="Travel expense - Marketing"/>
    <n v="37029"/>
    <s v="Cheque"/>
    <s v="Yes"/>
    <n v="47723"/>
    <n v="10694"/>
    <s v="PrintZone"/>
    <s v="INV-21701"/>
    <s v="2026"/>
  </r>
  <r>
    <s v="EXP-5110"/>
    <x v="1"/>
    <s v="Office Supplies"/>
    <s v="Office Supplies expense - Marketing"/>
    <n v="3594"/>
    <s v="Cheque"/>
    <s v="No"/>
    <n v="4742"/>
    <n v="1148"/>
    <s v="CloudSoft"/>
    <s v="INV-44774"/>
    <s v="2026"/>
  </r>
  <r>
    <s v="EXP-5111"/>
    <x v="1"/>
    <s v="Utilities"/>
    <s v="Utilities expense - Marketing"/>
    <n v="6426"/>
    <s v="Cash"/>
    <s v="Yes"/>
    <n v="7682"/>
    <n v="1256"/>
    <s v="PrintZone"/>
    <s v="INV-15387"/>
    <s v="2026"/>
  </r>
  <r>
    <s v="EXP-5112"/>
    <x v="1"/>
    <s v="Utilities"/>
    <s v="Utilities expense - Marketing"/>
    <n v="14667"/>
    <s v="Cheque"/>
    <s v="No"/>
    <n v="19158"/>
    <n v="4491"/>
    <s v="PowerGrid Co"/>
    <s v="INV-47802"/>
    <s v="2026"/>
  </r>
  <r>
    <s v="EXP-5113"/>
    <x v="1"/>
    <s v="Software"/>
    <s v="Software expense - Marketing"/>
    <n v="2546"/>
    <s v="Bank Transfer"/>
    <s v="Yes"/>
    <n v="3181"/>
    <n v="635"/>
    <s v="CloudSoft"/>
    <s v="INV-78575"/>
    <s v="2026"/>
  </r>
  <r>
    <s v="EXP-5114"/>
    <x v="1"/>
    <s v="Training"/>
    <s v="Training expense - Marketing"/>
    <n v="23440"/>
    <s v="Cash"/>
    <s v="Yes"/>
    <n v="29981"/>
    <n v="6541"/>
    <s v="SkillUp Academy"/>
    <s v="INV-18469"/>
    <s v="2026"/>
  </r>
  <r>
    <s v="EXP-5115"/>
    <x v="2"/>
    <s v="Travel"/>
    <s v="Travel expense - Sales"/>
    <n v="64488"/>
    <s v="Credit Card"/>
    <s v="Yes"/>
    <n v="65808"/>
    <n v="1320"/>
    <s v="Strategy Consultants"/>
    <s v="INV-50084"/>
    <s v="2026"/>
  </r>
  <r>
    <s v="EXP-5116"/>
    <x v="2"/>
    <s v="Travel"/>
    <s v="Travel expense - Sales"/>
    <n v="61403"/>
    <s v="Credit Card"/>
    <s v="Yes"/>
    <n v="72218"/>
    <n v="10815"/>
    <s v="SkillUp Academy"/>
    <s v="INV-28051"/>
    <s v="2026"/>
  </r>
  <r>
    <s v="EXP-5117"/>
    <x v="2"/>
    <s v="Utilities"/>
    <s v="Utilities expense - Sales"/>
    <n v="5641"/>
    <s v="Bank Transfer"/>
    <s v="Yes"/>
    <n v="7856"/>
    <n v="2215"/>
    <s v="SkillUp Academy"/>
    <s v="INV-28696"/>
    <s v="2026"/>
  </r>
  <r>
    <s v="EXP-5118"/>
    <x v="2"/>
    <s v="Office Supplies"/>
    <s v="Office Supplies expense - Sales"/>
    <n v="4039"/>
    <s v="Cash"/>
    <s v="Yes"/>
    <n v="5221"/>
    <n v="1182"/>
    <s v="TechMart India"/>
    <s v="INV-72020"/>
    <s v="2026"/>
  </r>
  <r>
    <s v="EXP-5119"/>
    <x v="2"/>
    <s v="Utilities"/>
    <s v="Utilities expense - Sales"/>
    <n v="5075"/>
    <s v="Cheque"/>
    <s v="Yes"/>
    <n v="7135"/>
    <n v="2060"/>
    <s v="HardwarePro"/>
    <s v="INV-22863"/>
    <s v="2026"/>
  </r>
  <r>
    <s v="EXP-5120"/>
    <x v="3"/>
    <s v="Training"/>
    <s v="Training expense - HR"/>
    <n v="22563"/>
    <s v="Cheque"/>
    <s v="Yes"/>
    <n v="26069"/>
    <n v="3506"/>
    <s v="AdPro Media"/>
    <s v="INV-28242"/>
    <s v="2026"/>
  </r>
  <r>
    <s v="EXP-5121"/>
    <x v="3"/>
    <s v="Office Supplies"/>
    <s v="Office Supplies expense - HR"/>
    <n v="2548"/>
    <s v="Bank Transfer"/>
    <s v="Yes"/>
    <n v="2721"/>
    <n v="173"/>
    <s v="SkillUp Academy"/>
    <s v="INV-21219"/>
    <s v="2026"/>
  </r>
  <r>
    <s v="EXP-5122"/>
    <x v="3"/>
    <s v="Training"/>
    <s v="Training expense - HR"/>
    <n v="21568"/>
    <s v="Bank Transfer"/>
    <s v="Yes"/>
    <n v="31566"/>
    <n v="9998"/>
    <s v="HardwarePro"/>
    <s v="INV-22588"/>
    <s v="2026"/>
  </r>
  <r>
    <s v="EXP-5123"/>
    <x v="3"/>
    <s v="Marketing"/>
    <s v="Marketing expense - HR"/>
    <n v="148037"/>
    <s v="Cash"/>
    <s v="Yes"/>
    <n v="180746"/>
    <n v="32709"/>
    <s v="PowerGrid Co"/>
    <s v="INV-66055"/>
    <s v="2026"/>
  </r>
  <r>
    <s v="EXP-5124"/>
    <x v="3"/>
    <s v="Consulting"/>
    <s v="Consulting expense - HR"/>
    <n v="120233"/>
    <s v="Credit Card"/>
    <s v="No"/>
    <n v="178032"/>
    <n v="57799"/>
    <s v="TechMart India"/>
    <s v="INV-65170"/>
    <s v="2026"/>
  </r>
  <r>
    <s v="EXP-5125"/>
    <x v="4"/>
    <s v="Marketing"/>
    <s v="Marketing expense - Finance"/>
    <n v="89269"/>
    <s v="Cash"/>
    <s v="Yes"/>
    <n v="124380"/>
    <n v="35111"/>
    <s v="AdPro Media"/>
    <s v="INV-81207"/>
    <s v="2026"/>
  </r>
  <r>
    <s v="EXP-5126"/>
    <x v="4"/>
    <s v="Training"/>
    <s v="Training expense - Finance"/>
    <n v="4754"/>
    <s v="Bank Transfer"/>
    <s v="Yes"/>
    <n v="6549"/>
    <n v="1795"/>
    <s v="TechMart India"/>
    <s v="INV-70661"/>
    <s v="2026"/>
  </r>
  <r>
    <s v="EXP-5127"/>
    <x v="4"/>
    <s v="Consulting"/>
    <s v="Consulting expense - Finance"/>
    <n v="24246"/>
    <s v="Credit Card"/>
    <s v="Yes"/>
    <n v="25272"/>
    <n v="1026"/>
    <s v="AdPro Media"/>
    <s v="INV-22766"/>
    <s v="2026"/>
  </r>
  <r>
    <s v="EXP-5128"/>
    <x v="5"/>
    <s v="Consulting"/>
    <s v="Consulting expense - Operations"/>
    <n v="191034"/>
    <s v="Credit Card"/>
    <s v="No"/>
    <n v="222680"/>
    <n v="31646"/>
    <s v="GlobalTravel"/>
    <s v="INV-16949"/>
    <s v="2026"/>
  </r>
  <r>
    <s v="EXP-5129"/>
    <x v="5"/>
    <s v="Office Supplies"/>
    <s v="Office Supplies expense - Operations"/>
    <n v="4729"/>
    <s v="Cheque"/>
    <s v="Yes"/>
    <n v="5070"/>
    <n v="341"/>
    <s v="PrintZone"/>
    <s v="INV-98562"/>
    <s v="2026"/>
  </r>
  <r>
    <s v="EXP-5130"/>
    <x v="5"/>
    <s v="Marketing"/>
    <s v="Marketing expense - Operations"/>
    <n v="88877"/>
    <s v="Credit Card"/>
    <s v="Yes"/>
    <n v="116795"/>
    <n v="27918"/>
    <s v="AdPro Media"/>
    <s v="INV-36306"/>
    <s v="2026"/>
  </r>
  <r>
    <s v="EXP-5131"/>
    <x v="5"/>
    <s v="Software"/>
    <s v="Software expense - Operations"/>
    <n v="6400"/>
    <s v="Credit Card"/>
    <s v="No"/>
    <n v="6400"/>
    <n v="0"/>
    <s v="QuickTravel"/>
    <s v="INV-42401"/>
    <s v="2026"/>
  </r>
  <r>
    <s v="EXP-5132"/>
    <x v="5"/>
    <s v="Office Supplies"/>
    <s v="Office Supplies expense - Operations"/>
    <n v="1348"/>
    <s v="Cheque"/>
    <s v="Yes"/>
    <n v="1667"/>
    <n v="319"/>
    <s v="TechMart India"/>
    <s v="INV-25966"/>
    <s v="2026"/>
  </r>
  <r>
    <s v="EXP-5133"/>
    <x v="0"/>
    <s v="Equipment"/>
    <s v="Equipment expense - Engineering"/>
    <n v="68402"/>
    <s v="Bank Transfer"/>
    <s v="No"/>
    <n v="102011"/>
    <n v="33609"/>
    <s v="SkillUp Academy"/>
    <s v="INV-90315"/>
    <s v="2026"/>
  </r>
  <r>
    <s v="EXP-5134"/>
    <x v="0"/>
    <s v="Consulting"/>
    <s v="Consulting expense - Engineering"/>
    <n v="182532"/>
    <s v="Bank Transfer"/>
    <s v="Yes"/>
    <n v="238858"/>
    <n v="56326"/>
    <s v="CloudSoft"/>
    <s v="INV-28571"/>
    <s v="2026"/>
  </r>
  <r>
    <s v="EXP-5135"/>
    <x v="0"/>
    <s v="Office Supplies"/>
    <s v="Office Supplies expense - Engineering"/>
    <n v="1898"/>
    <s v="Bank Transfer"/>
    <s v="Yes"/>
    <n v="2383"/>
    <n v="485"/>
    <s v="Strategy Consultants"/>
    <s v="INV-48015"/>
    <s v="2026"/>
  </r>
  <r>
    <s v="EXP-5136"/>
    <x v="0"/>
    <s v="Training"/>
    <s v="Training expense - Engineering"/>
    <n v="24873"/>
    <s v="Cheque"/>
    <s v="Yes"/>
    <n v="26117"/>
    <n v="1244"/>
    <s v="SkillUp Academy"/>
    <s v="INV-61273"/>
    <s v="2026"/>
  </r>
  <r>
    <s v="EXP-5137"/>
    <x v="0"/>
    <s v="Equipment"/>
    <s v="Equipment expense - Engineering"/>
    <n v="96442"/>
    <s v="Cheque"/>
    <s v="Yes"/>
    <n v="135012"/>
    <n v="38570"/>
    <s v="CloudSoft"/>
    <s v="INV-13666"/>
    <s v="2026"/>
  </r>
  <r>
    <s v="EXP-5138"/>
    <x v="1"/>
    <s v="Consulting"/>
    <s v="Consulting expense - Marketing"/>
    <n v="41490"/>
    <s v="Cash"/>
    <s v="Yes"/>
    <n v="53195"/>
    <n v="11705"/>
    <s v="AdPro Media"/>
    <s v="INV-68258"/>
    <s v="2026"/>
  </r>
  <r>
    <s v="EXP-5139"/>
    <x v="1"/>
    <s v="Travel"/>
    <s v="Travel expense - Marketing"/>
    <n v="51494"/>
    <s v="Cheque"/>
    <s v="Yes"/>
    <n v="76283"/>
    <n v="24789"/>
    <s v="TechMart India"/>
    <s v="INV-30750"/>
    <s v="2026"/>
  </r>
  <r>
    <s v="EXP-5140"/>
    <x v="1"/>
    <s v="Utilities"/>
    <s v="Utilities expense - Marketing"/>
    <n v="9202"/>
    <s v="Bank Transfer"/>
    <s v="Yes"/>
    <n v="13140"/>
    <n v="3938"/>
    <s v="GlobalTravel"/>
    <s v="INV-61199"/>
    <s v="2026"/>
  </r>
  <r>
    <s v="EXP-5141"/>
    <x v="1"/>
    <s v="Software"/>
    <s v="Software expense - Marketing"/>
    <n v="13435"/>
    <s v="Cash"/>
    <s v="Yes"/>
    <n v="17841"/>
    <n v="4406"/>
    <s v="CloudSoft"/>
    <s v="INV-46482"/>
    <s v="2026"/>
  </r>
  <r>
    <s v="EXP-5142"/>
    <x v="1"/>
    <s v="Training"/>
    <s v="Training expense - Marketing"/>
    <n v="15908"/>
    <s v="Cheque"/>
    <s v="Yes"/>
    <n v="16451"/>
    <n v="543"/>
    <s v="Strategy Consultants"/>
    <s v="INV-89408"/>
    <s v="2026"/>
  </r>
  <r>
    <s v="EXP-5143"/>
    <x v="2"/>
    <s v="Marketing"/>
    <s v="Marketing expense - Sales"/>
    <n v="142901"/>
    <s v="Cash"/>
    <s v="Yes"/>
    <n v="198304"/>
    <n v="55403"/>
    <s v="PowerGrid Co"/>
    <s v="INV-87182"/>
    <s v="2026"/>
  </r>
  <r>
    <s v="EXP-5144"/>
    <x v="2"/>
    <s v="Utilities"/>
    <s v="Utilities expense - Sales"/>
    <n v="10576"/>
    <s v="Credit Card"/>
    <s v="Yes"/>
    <n v="13841"/>
    <n v="3265"/>
    <s v="TechMart India"/>
    <s v="INV-30863"/>
    <s v="2026"/>
  </r>
  <r>
    <s v="EXP-5145"/>
    <x v="2"/>
    <s v="Office Supplies"/>
    <s v="Office Supplies expense - Sales"/>
    <n v="1290"/>
    <s v="Cheque"/>
    <s v="Yes"/>
    <n v="1719"/>
    <n v="429"/>
    <s v="PrintZone"/>
    <s v="INV-41013"/>
    <s v="2026"/>
  </r>
  <r>
    <s v="EXP-5146"/>
    <x v="2"/>
    <s v="Software"/>
    <s v="Software expense - Sales"/>
    <n v="13403"/>
    <s v="Cheque"/>
    <s v="Yes"/>
    <n v="18283"/>
    <n v="4880"/>
    <s v="TechMart India"/>
    <s v="INV-90203"/>
    <s v="2026"/>
  </r>
  <r>
    <s v="EXP-5147"/>
    <x v="2"/>
    <s v="Training"/>
    <s v="Training expense - Sales"/>
    <n v="6751"/>
    <s v="Credit Card"/>
    <s v="Yes"/>
    <n v="6877"/>
    <n v="126"/>
    <s v="PowerGrid Co"/>
    <s v="INV-89499"/>
    <s v="2026"/>
  </r>
  <r>
    <s v="EXP-5148"/>
    <x v="2"/>
    <s v="Travel"/>
    <s v="Travel expense - Sales"/>
    <n v="27815"/>
    <s v="Cheque"/>
    <s v="Yes"/>
    <n v="32282"/>
    <n v="4467"/>
    <s v="CloudSoft"/>
    <s v="INV-93544"/>
    <s v="2026"/>
  </r>
  <r>
    <s v="EXP-5149"/>
    <x v="2"/>
    <s v="Office Supplies"/>
    <s v="Office Supplies expense - Sales"/>
    <n v="2103"/>
    <s v="Cash"/>
    <s v="Yes"/>
    <n v="2368"/>
    <n v="265"/>
    <s v="PrintZone"/>
    <s v="INV-31245"/>
    <s v="2026"/>
  </r>
  <r>
    <s v="EXP-5150"/>
    <x v="2"/>
    <s v="Equipment"/>
    <s v="Equipment expense - Sales"/>
    <n v="111671"/>
    <s v="Bank Transfer"/>
    <s v="Yes"/>
    <n v="141182"/>
    <n v="29511"/>
    <s v="AdPro Media"/>
    <s v="INV-13177"/>
    <s v="2026"/>
  </r>
  <r>
    <s v="EXP-5151"/>
    <x v="3"/>
    <s v="Software"/>
    <s v="Software expense - HR"/>
    <n v="15339"/>
    <s v="Credit Card"/>
    <s v="Yes"/>
    <n v="15594"/>
    <n v="255"/>
    <s v="HardwarePro"/>
    <s v="INV-84487"/>
    <s v="2026"/>
  </r>
  <r>
    <s v="EXP-5152"/>
    <x v="3"/>
    <s v="Software"/>
    <s v="Software expense - HR"/>
    <n v="24328"/>
    <s v="Cheque"/>
    <s v="Yes"/>
    <n v="26582"/>
    <n v="2254"/>
    <s v="PrintZone"/>
    <s v="INV-84759"/>
    <s v="2026"/>
  </r>
  <r>
    <s v="EXP-5153"/>
    <x v="3"/>
    <s v="Consulting"/>
    <s v="Consulting expense - HR"/>
    <n v="141294"/>
    <s v="Bank Transfer"/>
    <s v="Yes"/>
    <n v="166169"/>
    <n v="24875"/>
    <s v="Strategy Consultants"/>
    <s v="INV-66034"/>
    <s v="2026"/>
  </r>
  <r>
    <s v="EXP-5154"/>
    <x v="3"/>
    <s v="Equipment"/>
    <s v="Equipment expense - HR"/>
    <n v="119553"/>
    <s v="Bank Transfer"/>
    <s v="No"/>
    <n v="123789"/>
    <n v="4236"/>
    <s v="SkillUp Academy"/>
    <s v="INV-23226"/>
    <s v="2026"/>
  </r>
  <r>
    <s v="EXP-5155"/>
    <x v="3"/>
    <s v="Software"/>
    <s v="Software expense - HR"/>
    <n v="34683"/>
    <s v="Cash"/>
    <s v="Yes"/>
    <n v="38681"/>
    <n v="3998"/>
    <s v="PrintZone"/>
    <s v="INV-47997"/>
    <s v="2026"/>
  </r>
  <r>
    <s v="EXP-5156"/>
    <x v="3"/>
    <s v="Training"/>
    <s v="Training expense - HR"/>
    <n v="15793"/>
    <s v="Bank Transfer"/>
    <s v="Yes"/>
    <n v="21346"/>
    <n v="5553"/>
    <s v="QuickTravel"/>
    <s v="INV-80047"/>
    <s v="2026"/>
  </r>
  <r>
    <s v="EXP-5157"/>
    <x v="3"/>
    <s v="Office Supplies"/>
    <s v="Office Supplies expense - HR"/>
    <n v="7489"/>
    <s v="Cash"/>
    <s v="Yes"/>
    <n v="9428"/>
    <n v="1939"/>
    <s v="AdPro Media"/>
    <s v="INV-17424"/>
    <s v="2026"/>
  </r>
  <r>
    <s v="EXP-5158"/>
    <x v="3"/>
    <s v="Software"/>
    <s v="Software expense - HR"/>
    <n v="40192"/>
    <s v="Credit Card"/>
    <s v="Yes"/>
    <n v="49657"/>
    <n v="9465"/>
    <s v="PowerGrid Co"/>
    <s v="INV-65234"/>
    <s v="2026"/>
  </r>
  <r>
    <s v="EXP-5159"/>
    <x v="4"/>
    <s v="Office Supplies"/>
    <s v="Office Supplies expense - Finance"/>
    <n v="3240"/>
    <s v="Bank Transfer"/>
    <s v="Yes"/>
    <n v="4679"/>
    <n v="1439"/>
    <s v="GlobalTravel"/>
    <s v="INV-53202"/>
    <s v="2026"/>
  </r>
  <r>
    <s v="EXP-5160"/>
    <x v="4"/>
    <s v="Travel"/>
    <s v="Travel expense - Finance"/>
    <n v="35882"/>
    <s v="Credit Card"/>
    <s v="Yes"/>
    <n v="44737"/>
    <n v="8855"/>
    <s v="QuickTravel"/>
    <s v="INV-64557"/>
    <s v="2026"/>
  </r>
  <r>
    <s v="EXP-5161"/>
    <x v="4"/>
    <s v="Software"/>
    <s v="Software expense - Finance"/>
    <n v="38138"/>
    <s v="Cash"/>
    <s v="Yes"/>
    <n v="47268"/>
    <n v="9130"/>
    <s v="QuickTravel"/>
    <s v="INV-14666"/>
    <s v="2026"/>
  </r>
  <r>
    <s v="EXP-5162"/>
    <x v="4"/>
    <s v="Consulting"/>
    <s v="Consulting expense - Finance"/>
    <n v="143065"/>
    <s v="Cheque"/>
    <s v="Yes"/>
    <n v="159177"/>
    <n v="16112"/>
    <s v="SkillUp Academy"/>
    <s v="INV-39852"/>
    <s v="2026"/>
  </r>
  <r>
    <s v="EXP-5163"/>
    <x v="4"/>
    <s v="Travel"/>
    <s v="Travel expense - Finance"/>
    <n v="12255"/>
    <s v="Bank Transfer"/>
    <s v="No"/>
    <n v="12416"/>
    <n v="161"/>
    <s v="AdPro Media"/>
    <s v="INV-59727"/>
    <s v="2026"/>
  </r>
  <r>
    <s v="EXP-5164"/>
    <x v="5"/>
    <s v="Travel"/>
    <s v="Travel expense - Operations"/>
    <n v="77416"/>
    <s v="Cheque"/>
    <s v="Yes"/>
    <n v="96080"/>
    <n v="18664"/>
    <s v="HardwarePro"/>
    <s v="INV-65945"/>
    <s v="2026"/>
  </r>
  <r>
    <s v="EXP-5165"/>
    <x v="5"/>
    <s v="Marketing"/>
    <s v="Marketing expense - Operations"/>
    <n v="40299"/>
    <s v="Cash"/>
    <s v="Yes"/>
    <n v="49124"/>
    <n v="8825"/>
    <s v="PrintZone"/>
    <s v="INV-54974"/>
    <s v="2026"/>
  </r>
  <r>
    <s v="EXP-5166"/>
    <x v="5"/>
    <s v="Equipment"/>
    <s v="Equipment expense - Operations"/>
    <n v="12592"/>
    <s v="Credit Card"/>
    <s v="Yes"/>
    <n v="14092"/>
    <n v="1500"/>
    <s v="HardwarePro"/>
    <s v="INV-80283"/>
    <s v="2026"/>
  </r>
  <r>
    <s v="EXP-5167"/>
    <x v="5"/>
    <s v="Travel"/>
    <s v="Travel expense - Operations"/>
    <n v="6952"/>
    <s v="Credit Card"/>
    <s v="Yes"/>
    <n v="9987"/>
    <n v="3035"/>
    <s v="TechMart India"/>
    <s v="INV-26608"/>
    <s v="2026"/>
  </r>
  <r>
    <s v="EXP-5168"/>
    <x v="5"/>
    <s v="Consulting"/>
    <s v="Consulting expense - Operations"/>
    <n v="57341"/>
    <s v="Cash"/>
    <s v="No"/>
    <n v="65443"/>
    <n v="8102"/>
    <s v="PrintZone"/>
    <s v="INV-48327"/>
    <s v="2026"/>
  </r>
  <r>
    <s v="EXP-5169"/>
    <x v="5"/>
    <s v="Marketing"/>
    <s v="Marketing expense - Operations"/>
    <n v="114285"/>
    <s v="Credit Card"/>
    <s v="Yes"/>
    <n v="141639"/>
    <n v="27354"/>
    <s v="SkillUp Academy"/>
    <s v="INV-81256"/>
    <s v="2026"/>
  </r>
  <r>
    <s v="EXP-5170"/>
    <x v="5"/>
    <s v="Office Supplies"/>
    <s v="Office Supplies expense - Operations"/>
    <n v="4554"/>
    <s v="Cash"/>
    <s v="Yes"/>
    <n v="6160"/>
    <n v="1606"/>
    <s v="Strategy Consultants"/>
    <s v="INV-49677"/>
    <s v="2026"/>
  </r>
  <r>
    <s v="EXP-5171"/>
    <x v="5"/>
    <s v="Utilities"/>
    <s v="Utilities expense - Operations"/>
    <n v="13782"/>
    <s v="Bank Transfer"/>
    <s v="No"/>
    <n v="17582"/>
    <n v="3800"/>
    <s v="SkillUp Academy"/>
    <s v="INV-51793"/>
    <s v="2026"/>
  </r>
  <r>
    <s v="EXP-5172"/>
    <x v="0"/>
    <s v="Software"/>
    <s v="Software expense - Engineering"/>
    <n v="5538"/>
    <s v="Cheque"/>
    <s v="Yes"/>
    <n v="6498"/>
    <n v="960"/>
    <s v="QuickTravel"/>
    <s v="INV-36680"/>
    <s v="2026"/>
  </r>
  <r>
    <s v="EXP-5173"/>
    <x v="0"/>
    <s v="Marketing"/>
    <s v="Marketing expense - Engineering"/>
    <n v="146575"/>
    <s v="Bank Transfer"/>
    <s v="Yes"/>
    <n v="163470"/>
    <n v="16895"/>
    <s v="PowerGrid Co"/>
    <s v="INV-28607"/>
    <s v="2026"/>
  </r>
  <r>
    <s v="EXP-5174"/>
    <x v="0"/>
    <s v="Travel"/>
    <s v="Travel expense - Engineering"/>
    <n v="35815"/>
    <s v="Cheque"/>
    <s v="Yes"/>
    <n v="48321"/>
    <n v="12506"/>
    <s v="TechMart India"/>
    <s v="INV-75392"/>
    <s v="2026"/>
  </r>
  <r>
    <s v="EXP-5175"/>
    <x v="0"/>
    <s v="Travel"/>
    <s v="Travel expense - Engineering"/>
    <n v="40428"/>
    <s v="Cash"/>
    <s v="Yes"/>
    <n v="46047"/>
    <n v="5619"/>
    <s v="TechMart India"/>
    <s v="INV-46581"/>
    <s v="2026"/>
  </r>
  <r>
    <s v="EXP-5176"/>
    <x v="0"/>
    <s v="Equipment"/>
    <s v="Equipment expense - Engineering"/>
    <n v="69927"/>
    <s v="Cheque"/>
    <s v="Yes"/>
    <n v="70586"/>
    <n v="659"/>
    <s v="TechMart India"/>
    <s v="INV-39418"/>
    <s v="2026"/>
  </r>
  <r>
    <s v="EXP-5177"/>
    <x v="0"/>
    <s v="Office Supplies"/>
    <s v="Office Supplies expense - Engineering"/>
    <n v="3607"/>
    <s v="Credit Card"/>
    <s v="Yes"/>
    <n v="3940"/>
    <n v="333"/>
    <s v="TechMart India"/>
    <s v="INV-80981"/>
    <s v="2026"/>
  </r>
  <r>
    <s v="EXP-5178"/>
    <x v="0"/>
    <s v="Utilities"/>
    <s v="Utilities expense - Engineering"/>
    <n v="1425"/>
    <s v="Cash"/>
    <s v="Yes"/>
    <n v="2073"/>
    <n v="648"/>
    <s v="AdPro Media"/>
    <s v="INV-38382"/>
    <s v="2026"/>
  </r>
  <r>
    <s v="EXP-5179"/>
    <x v="0"/>
    <s v="Travel"/>
    <s v="Travel expense - Engineering"/>
    <n v="49688"/>
    <s v="Cheque"/>
    <s v="Yes"/>
    <n v="67719"/>
    <n v="18031"/>
    <s v="TechMart India"/>
    <s v="INV-24314"/>
    <s v="2026"/>
  </r>
  <r>
    <s v="EXP-5180"/>
    <x v="1"/>
    <s v="Equipment"/>
    <s v="Equipment expense - Marketing"/>
    <n v="99541"/>
    <s v="Cheque"/>
    <s v="Yes"/>
    <n v="145951"/>
    <n v="46410"/>
    <s v="AdPro Media"/>
    <s v="INV-84488"/>
    <s v="2026"/>
  </r>
  <r>
    <s v="EXP-5181"/>
    <x v="1"/>
    <s v="Training"/>
    <s v="Training expense - Marketing"/>
    <n v="8326"/>
    <s v="Bank Transfer"/>
    <s v="Yes"/>
    <n v="12324"/>
    <n v="3998"/>
    <s v="TechMart India"/>
    <s v="INV-46791"/>
    <s v="2026"/>
  </r>
  <r>
    <s v="EXP-5182"/>
    <x v="1"/>
    <s v="Training"/>
    <s v="Training expense - Marketing"/>
    <n v="5802"/>
    <s v="Cash"/>
    <s v="Yes"/>
    <n v="8700"/>
    <n v="2898"/>
    <s v="AdPro Media"/>
    <s v="INV-61721"/>
    <s v="2026"/>
  </r>
  <r>
    <s v="EXP-5183"/>
    <x v="1"/>
    <s v="Travel"/>
    <s v="Travel expense - Marketing"/>
    <n v="40949"/>
    <s v="Cash"/>
    <s v="No"/>
    <n v="48355"/>
    <n v="7406"/>
    <s v="TechMart India"/>
    <s v="INV-26293"/>
    <s v="2026"/>
  </r>
  <r>
    <s v="EXP-5184"/>
    <x v="1"/>
    <s v="Training"/>
    <s v="Training expense - Marketing"/>
    <n v="21626"/>
    <s v="Cash"/>
    <s v="Yes"/>
    <n v="28771"/>
    <n v="7145"/>
    <s v="Strategy Consultants"/>
    <s v="INV-70650"/>
    <s v="2026"/>
  </r>
  <r>
    <s v="EXP-5185"/>
    <x v="1"/>
    <s v="Travel"/>
    <s v="Travel expense - Marketing"/>
    <n v="62659"/>
    <s v="Cash"/>
    <s v="Yes"/>
    <n v="62937"/>
    <n v="278"/>
    <s v="GlobalTravel"/>
    <s v="INV-38553"/>
    <s v="2026"/>
  </r>
  <r>
    <s v="EXP-5186"/>
    <x v="1"/>
    <s v="Equipment"/>
    <s v="Equipment expense - Marketing"/>
    <n v="12678"/>
    <s v="Cash"/>
    <s v="No"/>
    <n v="16352"/>
    <n v="3674"/>
    <s v="GlobalTravel"/>
    <s v="INV-51160"/>
    <s v="2026"/>
  </r>
  <r>
    <s v="EXP-5187"/>
    <x v="2"/>
    <s v="Consulting"/>
    <s v="Consulting expense - Sales"/>
    <n v="57134"/>
    <s v="Cash"/>
    <s v="Yes"/>
    <n v="64504"/>
    <n v="7370"/>
    <s v="Strategy Consultants"/>
    <s v="INV-26675"/>
    <s v="2026"/>
  </r>
  <r>
    <s v="EXP-5188"/>
    <x v="2"/>
    <s v="Office Supplies"/>
    <s v="Office Supplies expense - Sales"/>
    <n v="5663"/>
    <s v="Credit Card"/>
    <s v="Yes"/>
    <n v="6157"/>
    <n v="494"/>
    <s v="QuickTravel"/>
    <s v="INV-95799"/>
    <s v="2026"/>
  </r>
  <r>
    <s v="EXP-5189"/>
    <x v="2"/>
    <s v="Travel"/>
    <s v="Travel expense - Sales"/>
    <n v="29150"/>
    <s v="Cheque"/>
    <s v="No"/>
    <n v="39126"/>
    <n v="9976"/>
    <s v="PowerGrid Co"/>
    <s v="INV-15499"/>
    <s v="2026"/>
  </r>
  <r>
    <s v="EXP-5190"/>
    <x v="3"/>
    <s v="Office Supplies"/>
    <s v="Office Supplies expense - HR"/>
    <n v="998"/>
    <s v="Cash"/>
    <s v="Yes"/>
    <n v="1473"/>
    <n v="475"/>
    <s v="PowerGrid Co"/>
    <s v="INV-80836"/>
    <s v="2026"/>
  </r>
  <r>
    <s v="EXP-5191"/>
    <x v="3"/>
    <s v="Travel"/>
    <s v="Travel expense - HR"/>
    <n v="35762"/>
    <s v="Cheque"/>
    <s v="Yes"/>
    <n v="42016"/>
    <n v="6254"/>
    <s v="GlobalTravel"/>
    <s v="INV-20151"/>
    <s v="2026"/>
  </r>
  <r>
    <s v="EXP-5192"/>
    <x v="3"/>
    <s v="Office Supplies"/>
    <s v="Office Supplies expense - HR"/>
    <n v="2171"/>
    <s v="Cheque"/>
    <s v="Yes"/>
    <n v="2525"/>
    <n v="354"/>
    <s v="HardwarePro"/>
    <s v="INV-47104"/>
    <s v="2026"/>
  </r>
  <r>
    <s v="EXP-5193"/>
    <x v="3"/>
    <s v="Marketing"/>
    <s v="Marketing expense - HR"/>
    <n v="16473"/>
    <s v="Cash"/>
    <s v="Yes"/>
    <n v="19163"/>
    <n v="2690"/>
    <s v="HardwarePro"/>
    <s v="INV-95456"/>
    <s v="2026"/>
  </r>
  <r>
    <s v="EXP-5194"/>
    <x v="3"/>
    <s v="Utilities"/>
    <s v="Utilities expense - HR"/>
    <n v="8711"/>
    <s v="Credit Card"/>
    <s v="Yes"/>
    <n v="12816"/>
    <n v="4105"/>
    <s v="PowerGrid Co"/>
    <s v="INV-15847"/>
    <s v="2026"/>
  </r>
  <r>
    <s v="EXP-5195"/>
    <x v="3"/>
    <s v="Training"/>
    <s v="Training expense - HR"/>
    <n v="7917"/>
    <s v="Credit Card"/>
    <s v="No"/>
    <n v="11527"/>
    <n v="3610"/>
    <s v="PrintZone"/>
    <s v="INV-51039"/>
    <s v="2026"/>
  </r>
  <r>
    <s v="EXP-5196"/>
    <x v="3"/>
    <s v="Utilities"/>
    <s v="Utilities expense - HR"/>
    <n v="4520"/>
    <s v="Credit Card"/>
    <s v="Yes"/>
    <n v="5376"/>
    <n v="856"/>
    <s v="HardwarePro"/>
    <s v="INV-95093"/>
    <s v="2026"/>
  </r>
  <r>
    <s v="EXP-5197"/>
    <x v="4"/>
    <s v="Software"/>
    <s v="Software expense - Finance"/>
    <n v="16718"/>
    <s v="Cheque"/>
    <s v="No"/>
    <n v="21444"/>
    <n v="4726"/>
    <s v="QuickTravel"/>
    <s v="INV-79174"/>
    <s v="2026"/>
  </r>
  <r>
    <s v="EXP-5198"/>
    <x v="4"/>
    <s v="Travel"/>
    <s v="Travel expense - Finance"/>
    <n v="66909"/>
    <s v="Cheque"/>
    <s v="Yes"/>
    <n v="88962"/>
    <n v="22053"/>
    <s v="SkillUp Academy"/>
    <s v="INV-35562"/>
    <s v="2026"/>
  </r>
  <r>
    <s v="EXP-5199"/>
    <x v="4"/>
    <s v="Training"/>
    <s v="Training expense - Finance"/>
    <n v="10996"/>
    <s v="Cash"/>
    <s v="Yes"/>
    <n v="12803"/>
    <n v="1807"/>
    <s v="Strategy Consultants"/>
    <s v="INV-51263"/>
    <s v="2026"/>
  </r>
  <r>
    <s v="EXP-5200"/>
    <x v="5"/>
    <s v="Software"/>
    <s v="Software expense - Operations"/>
    <n v="47421"/>
    <s v="Cheque"/>
    <s v="Yes"/>
    <n v="53136"/>
    <n v="5715"/>
    <s v="QuickTravel"/>
    <s v="INV-56135"/>
    <s v="2026"/>
  </r>
  <r>
    <s v="EXP-5201"/>
    <x v="5"/>
    <s v="Software"/>
    <s v="Software expense - Operations"/>
    <n v="25743"/>
    <s v="Bank Transfer"/>
    <s v="Yes"/>
    <n v="34152"/>
    <n v="8409"/>
    <s v="HardwarePro"/>
    <s v="INV-40115"/>
    <s v="2026"/>
  </r>
  <r>
    <s v="EXP-5202"/>
    <x v="5"/>
    <s v="Marketing"/>
    <s v="Marketing expense - Operations"/>
    <n v="74210"/>
    <s v="Bank Transfer"/>
    <s v="No"/>
    <n v="103020"/>
    <n v="28810"/>
    <s v="SkillUp Academy"/>
    <s v="INV-47602"/>
    <s v="2026"/>
  </r>
  <r>
    <s v="EXP-5203"/>
    <x v="5"/>
    <s v="Utilities"/>
    <s v="Utilities expense - Operations"/>
    <n v="6142"/>
    <s v="Cheque"/>
    <s v="No"/>
    <n v="6504"/>
    <n v="362"/>
    <s v="CloudSoft"/>
    <s v="INV-85499"/>
    <s v="2026"/>
  </r>
  <r>
    <s v="EXP-5204"/>
    <x v="5"/>
    <s v="Consulting"/>
    <s v="Consulting expense - Operations"/>
    <n v="175840"/>
    <s v="Bank Transfer"/>
    <s v="Yes"/>
    <n v="253336"/>
    <n v="77496"/>
    <s v="TechMart India"/>
    <s v="INV-31859"/>
    <s v="2026"/>
  </r>
  <r>
    <s v="EXP-5205"/>
    <x v="5"/>
    <s v="Software"/>
    <s v="Software expense - Operations"/>
    <n v="29435"/>
    <s v="Cheque"/>
    <s v="Yes"/>
    <n v="33311"/>
    <n v="3876"/>
    <s v="CloudSoft"/>
    <s v="INV-14466"/>
    <s v="2026"/>
  </r>
  <r>
    <s v="EXP-5206"/>
    <x v="5"/>
    <s v="Equipment"/>
    <s v="Equipment expense - Operations"/>
    <n v="8136"/>
    <s v="Bank Transfer"/>
    <s v="No"/>
    <n v="10943"/>
    <n v="2807"/>
    <s v="GlobalTravel"/>
    <s v="INV-60870"/>
    <s v="2026"/>
  </r>
  <r>
    <s v="EXP-5207"/>
    <x v="5"/>
    <s v="Equipment"/>
    <s v="Equipment expense - Operations"/>
    <n v="51447"/>
    <s v="Bank Transfer"/>
    <s v="Yes"/>
    <n v="54726"/>
    <n v="3279"/>
    <s v="QuickTravel"/>
    <s v="INV-54146"/>
    <s v="2026"/>
  </r>
  <r>
    <s v="EXP-5208"/>
    <x v="0"/>
    <s v="Software"/>
    <s v="Software expense - Engineering"/>
    <n v="49328"/>
    <s v="Cash"/>
    <s v="Yes"/>
    <n v="50444"/>
    <n v="1116"/>
    <s v="HardwarePro"/>
    <s v="INV-92684"/>
    <s v="2026"/>
  </r>
  <r>
    <s v="EXP-5209"/>
    <x v="0"/>
    <s v="Consulting"/>
    <s v="Consulting expense - Engineering"/>
    <n v="124213"/>
    <s v="Bank Transfer"/>
    <s v="Yes"/>
    <n v="142180"/>
    <n v="17967"/>
    <s v="AdPro Media"/>
    <s v="INV-76764"/>
    <s v="2026"/>
  </r>
  <r>
    <s v="EXP-5210"/>
    <x v="0"/>
    <s v="Software"/>
    <s v="Software expense - Engineering"/>
    <n v="11978"/>
    <s v="Cash"/>
    <s v="Yes"/>
    <n v="17342"/>
    <n v="5364"/>
    <s v="HardwarePro"/>
    <s v="INV-52000"/>
    <s v="2026"/>
  </r>
  <r>
    <s v="EXP-5211"/>
    <x v="0"/>
    <s v="Consulting"/>
    <s v="Consulting expense - Engineering"/>
    <n v="56326"/>
    <s v="Cash"/>
    <s v="Yes"/>
    <n v="70652"/>
    <n v="14326"/>
    <s v="PrintZone"/>
    <s v="INV-48974"/>
    <s v="2026"/>
  </r>
  <r>
    <s v="EXP-5212"/>
    <x v="0"/>
    <s v="Consulting"/>
    <s v="Consulting expense - Engineering"/>
    <n v="99421"/>
    <s v="Cheque"/>
    <s v="Yes"/>
    <n v="101821"/>
    <n v="2400"/>
    <s v="PowerGrid Co"/>
    <s v="INV-60340"/>
    <s v="2026"/>
  </r>
  <r>
    <s v="EXP-5213"/>
    <x v="1"/>
    <s v="Marketing"/>
    <s v="Marketing expense - Marketing"/>
    <n v="47538"/>
    <s v="Bank Transfer"/>
    <s v="Yes"/>
    <n v="48535"/>
    <n v="997"/>
    <s v="GlobalTravel"/>
    <s v="INV-46471"/>
    <s v="2026"/>
  </r>
  <r>
    <s v="EXP-5214"/>
    <x v="1"/>
    <s v="Utilities"/>
    <s v="Utilities expense - Marketing"/>
    <n v="2629"/>
    <s v="Credit Card"/>
    <s v="Yes"/>
    <n v="3086"/>
    <n v="457"/>
    <s v="SkillUp Academy"/>
    <s v="INV-73784"/>
    <s v="2026"/>
  </r>
  <r>
    <s v="EXP-5215"/>
    <x v="1"/>
    <s v="Consulting"/>
    <s v="Consulting expense - Marketing"/>
    <n v="68624"/>
    <s v="Cash"/>
    <s v="No"/>
    <n v="99002"/>
    <n v="30378"/>
    <s v="QuickTravel"/>
    <s v="INV-40366"/>
    <s v="2026"/>
  </r>
  <r>
    <s v="EXP-5216"/>
    <x v="1"/>
    <s v="Training"/>
    <s v="Training expense - Marketing"/>
    <n v="7620"/>
    <s v="Bank Transfer"/>
    <s v="Yes"/>
    <n v="7986"/>
    <n v="366"/>
    <s v="AdPro Media"/>
    <s v="INV-15209"/>
    <s v="2026"/>
  </r>
  <r>
    <s v="EXP-5217"/>
    <x v="1"/>
    <s v="Office Supplies"/>
    <s v="Office Supplies expense - Marketing"/>
    <n v="554"/>
    <s v="Credit Card"/>
    <s v="Yes"/>
    <n v="689"/>
    <n v="135"/>
    <s v="PrintZone"/>
    <s v="INV-46941"/>
    <s v="2026"/>
  </r>
  <r>
    <s v="EXP-5218"/>
    <x v="2"/>
    <s v="Equipment"/>
    <s v="Equipment expense - Sales"/>
    <n v="100956"/>
    <s v="Cheque"/>
    <s v="Yes"/>
    <n v="123410"/>
    <n v="22454"/>
    <s v="QuickTravel"/>
    <s v="INV-25720"/>
    <s v="2026"/>
  </r>
  <r>
    <s v="EXP-5219"/>
    <x v="2"/>
    <s v="Consulting"/>
    <s v="Consulting expense - Sales"/>
    <n v="123315"/>
    <s v="Bank Transfer"/>
    <s v="Yes"/>
    <n v="153728"/>
    <n v="30413"/>
    <s v="QuickTravel"/>
    <s v="INV-56362"/>
    <s v="2026"/>
  </r>
  <r>
    <s v="EXP-5220"/>
    <x v="2"/>
    <s v="Software"/>
    <s v="Software expense - Sales"/>
    <n v="16577"/>
    <s v="Bank Transfer"/>
    <s v="No"/>
    <n v="22606"/>
    <n v="6029"/>
    <s v="PowerGrid Co"/>
    <s v="INV-46190"/>
    <s v="2026"/>
  </r>
  <r>
    <s v="EXP-5221"/>
    <x v="2"/>
    <s v="Consulting"/>
    <s v="Consulting expense - Sales"/>
    <n v="175314"/>
    <s v="Credit Card"/>
    <s v="Yes"/>
    <n v="239788"/>
    <n v="64474"/>
    <s v="TechMart India"/>
    <s v="INV-66803"/>
    <s v="2026"/>
  </r>
  <r>
    <s v="EXP-5222"/>
    <x v="2"/>
    <s v="Software"/>
    <s v="Software expense - Sales"/>
    <n v="48209"/>
    <s v="Bank Transfer"/>
    <s v="No"/>
    <n v="67353"/>
    <n v="19144"/>
    <s v="TechMart India"/>
    <s v="INV-93164"/>
    <s v="2026"/>
  </r>
  <r>
    <s v="EXP-5223"/>
    <x v="2"/>
    <s v="Travel"/>
    <s v="Travel expense - Sales"/>
    <n v="37232"/>
    <s v="Bank Transfer"/>
    <s v="Yes"/>
    <n v="39780"/>
    <n v="2548"/>
    <s v="SkillUp Academy"/>
    <s v="INV-71618"/>
    <s v="2026"/>
  </r>
  <r>
    <s v="EXP-5224"/>
    <x v="2"/>
    <s v="Marketing"/>
    <s v="Marketing expense - Sales"/>
    <n v="137010"/>
    <s v="Cheque"/>
    <s v="Yes"/>
    <n v="192764"/>
    <n v="55754"/>
    <s v="CloudSoft"/>
    <s v="INV-36027"/>
    <s v="2026"/>
  </r>
  <r>
    <s v="EXP-5225"/>
    <x v="3"/>
    <s v="Software"/>
    <s v="Software expense - HR"/>
    <n v="35836"/>
    <s v="Bank Transfer"/>
    <s v="Yes"/>
    <n v="51195"/>
    <n v="15359"/>
    <s v="HardwarePro"/>
    <s v="INV-18816"/>
    <s v="2026"/>
  </r>
  <r>
    <s v="EXP-5226"/>
    <x v="3"/>
    <s v="Consulting"/>
    <s v="Consulting expense - HR"/>
    <n v="156207"/>
    <s v="Bank Transfer"/>
    <s v="Yes"/>
    <n v="203945"/>
    <n v="47738"/>
    <s v="HardwarePro"/>
    <s v="INV-44481"/>
    <s v="2026"/>
  </r>
  <r>
    <s v="EXP-5227"/>
    <x v="3"/>
    <s v="Equipment"/>
    <s v="Equipment expense - HR"/>
    <n v="87709"/>
    <s v="Cash"/>
    <s v="Yes"/>
    <n v="113316"/>
    <n v="25607"/>
    <s v="GlobalTravel"/>
    <s v="INV-96106"/>
    <s v="2026"/>
  </r>
  <r>
    <s v="EXP-5228"/>
    <x v="3"/>
    <s v="Marketing"/>
    <s v="Marketing expense - HR"/>
    <n v="88669"/>
    <s v="Cheque"/>
    <s v="Yes"/>
    <n v="125941"/>
    <n v="37272"/>
    <s v="HardwarePro"/>
    <s v="INV-88360"/>
    <s v="2026"/>
  </r>
  <r>
    <s v="EXP-5229"/>
    <x v="3"/>
    <s v="Utilities"/>
    <s v="Utilities expense - HR"/>
    <n v="9903"/>
    <s v="Bank Transfer"/>
    <s v="Yes"/>
    <n v="12284"/>
    <n v="2381"/>
    <s v="SkillUp Academy"/>
    <s v="INV-64997"/>
    <s v="2026"/>
  </r>
  <r>
    <s v="EXP-5230"/>
    <x v="3"/>
    <s v="Consulting"/>
    <s v="Consulting expense - HR"/>
    <n v="95300"/>
    <s v="Credit Card"/>
    <s v="Yes"/>
    <n v="107088"/>
    <n v="11788"/>
    <s v="Strategy Consultants"/>
    <s v="INV-51799"/>
    <s v="2026"/>
  </r>
  <r>
    <s v="EXP-5231"/>
    <x v="3"/>
    <s v="Software"/>
    <s v="Software expense - HR"/>
    <n v="24778"/>
    <s v="Bank Transfer"/>
    <s v="Yes"/>
    <n v="33413"/>
    <n v="8635"/>
    <s v="Strategy Consultants"/>
    <s v="INV-88781"/>
    <s v="2026"/>
  </r>
  <r>
    <s v="EXP-5232"/>
    <x v="3"/>
    <s v="Equipment"/>
    <s v="Equipment expense - HR"/>
    <n v="95075"/>
    <s v="Cash"/>
    <s v="No"/>
    <n v="106240"/>
    <n v="11165"/>
    <s v="PrintZone"/>
    <s v="INV-63609"/>
    <s v="2026"/>
  </r>
  <r>
    <s v="EXP-5233"/>
    <x v="4"/>
    <s v="Utilities"/>
    <s v="Utilities expense - Finance"/>
    <n v="5286"/>
    <s v="Cheque"/>
    <s v="Yes"/>
    <n v="7070"/>
    <n v="1784"/>
    <s v="HardwarePro"/>
    <s v="INV-62255"/>
    <s v="2026"/>
  </r>
  <r>
    <s v="EXP-5234"/>
    <x v="4"/>
    <s v="Training"/>
    <s v="Training expense - Finance"/>
    <n v="4790"/>
    <s v="Bank Transfer"/>
    <s v="Yes"/>
    <n v="5433"/>
    <n v="643"/>
    <s v="TechMart India"/>
    <s v="INV-50437"/>
    <s v="2026"/>
  </r>
  <r>
    <s v="EXP-5235"/>
    <x v="4"/>
    <s v="Consulting"/>
    <s v="Consulting expense - Finance"/>
    <n v="117429"/>
    <s v="Bank Transfer"/>
    <s v="Yes"/>
    <n v="130423"/>
    <n v="12994"/>
    <s v="AdPro Media"/>
    <s v="INV-90052"/>
    <s v="2026"/>
  </r>
  <r>
    <s v="EXP-5236"/>
    <x v="5"/>
    <s v="Marketing"/>
    <s v="Marketing expense - Operations"/>
    <n v="15221"/>
    <s v="Cheque"/>
    <s v="Yes"/>
    <n v="22453"/>
    <n v="7232"/>
    <s v="PowerGrid Co"/>
    <s v="INV-56229"/>
    <s v="2026"/>
  </r>
  <r>
    <s v="EXP-5237"/>
    <x v="5"/>
    <s v="Software"/>
    <s v="Software expense - Operations"/>
    <n v="44921"/>
    <s v="Cash"/>
    <s v="No"/>
    <n v="46026"/>
    <n v="1105"/>
    <s v="PrintZone"/>
    <s v="INV-30577"/>
    <s v="2026"/>
  </r>
  <r>
    <s v="EXP-5238"/>
    <x v="5"/>
    <s v="Equipment"/>
    <s v="Equipment expense - Operations"/>
    <n v="117685"/>
    <s v="Bank Transfer"/>
    <s v="Yes"/>
    <n v="159923"/>
    <n v="42238"/>
    <s v="PowerGrid Co"/>
    <s v="INV-64184"/>
    <s v="2026"/>
  </r>
  <r>
    <s v="EXP-5239"/>
    <x v="5"/>
    <s v="Office Supplies"/>
    <s v="Office Supplies expense - Operations"/>
    <n v="5029"/>
    <s v="Credit Card"/>
    <s v="Yes"/>
    <n v="6873"/>
    <n v="1844"/>
    <s v="GlobalTravel"/>
    <s v="INV-23437"/>
    <s v="2026"/>
  </r>
  <r>
    <s v="EXP-5240"/>
    <x v="5"/>
    <s v="Equipment"/>
    <s v="Equipment expense - Operations"/>
    <n v="108722"/>
    <s v="Cash"/>
    <s v="Yes"/>
    <n v="135082"/>
    <n v="26360"/>
    <s v="TechMart India"/>
    <s v="INV-40147"/>
    <s v="2026"/>
  </r>
  <r>
    <s v="EXP-5241"/>
    <x v="0"/>
    <s v="Office Supplies"/>
    <s v="Office Supplies expense - Engineering"/>
    <n v="776"/>
    <s v="Cheque"/>
    <s v="Yes"/>
    <n v="882"/>
    <n v="106"/>
    <s v="CloudSoft"/>
    <s v="INV-45389"/>
    <s v="2026"/>
  </r>
  <r>
    <s v="EXP-5242"/>
    <x v="0"/>
    <s v="Software"/>
    <s v="Software expense - Engineering"/>
    <n v="7015"/>
    <s v="Cheque"/>
    <s v="Yes"/>
    <n v="7274"/>
    <n v="259"/>
    <s v="TechMart India"/>
    <s v="INV-81001"/>
    <s v="2026"/>
  </r>
  <r>
    <s v="EXP-5243"/>
    <x v="0"/>
    <s v="Marketing"/>
    <s v="Marketing expense - Engineering"/>
    <n v="35049"/>
    <s v="Cheque"/>
    <s v="Yes"/>
    <n v="47945"/>
    <n v="12896"/>
    <s v="AdPro Media"/>
    <s v="INV-50919"/>
    <s v="2026"/>
  </r>
  <r>
    <s v="EXP-5244"/>
    <x v="0"/>
    <s v="Utilities"/>
    <s v="Utilities expense - Engineering"/>
    <n v="7965"/>
    <s v="Cash"/>
    <s v="Yes"/>
    <n v="10005"/>
    <n v="2040"/>
    <s v="Strategy Consultants"/>
    <s v="INV-36563"/>
    <s v="2026"/>
  </r>
  <r>
    <s v="EXP-5245"/>
    <x v="0"/>
    <s v="Software"/>
    <s v="Software expense - Engineering"/>
    <n v="19319"/>
    <s v="Cheque"/>
    <s v="Yes"/>
    <n v="28682"/>
    <n v="9363"/>
    <s v="SkillUp Academy"/>
    <s v="INV-66299"/>
    <s v="2026"/>
  </r>
  <r>
    <s v="EXP-5246"/>
    <x v="0"/>
    <s v="Software"/>
    <s v="Software expense - Engineering"/>
    <n v="16565"/>
    <s v="Cash"/>
    <s v="Yes"/>
    <n v="24573"/>
    <n v="8008"/>
    <s v="SkillUp Academy"/>
    <s v="INV-79888"/>
    <s v="2026"/>
  </r>
  <r>
    <s v="EXP-5247"/>
    <x v="0"/>
    <s v="Office Supplies"/>
    <s v="Office Supplies expense - Engineering"/>
    <n v="3632"/>
    <s v="Cheque"/>
    <s v="Yes"/>
    <n v="3663"/>
    <n v="31"/>
    <s v="GlobalTravel"/>
    <s v="INV-24195"/>
    <s v="2026"/>
  </r>
  <r>
    <s v="EXP-5248"/>
    <x v="0"/>
    <s v="Consulting"/>
    <s v="Consulting expense - Engineering"/>
    <n v="68736"/>
    <s v="Cheque"/>
    <s v="Yes"/>
    <n v="88597"/>
    <n v="19861"/>
    <s v="Strategy Consultants"/>
    <s v="INV-58473"/>
    <s v="2026"/>
  </r>
  <r>
    <s v="EXP-5249"/>
    <x v="1"/>
    <s v="Software"/>
    <s v="Software expense - Marketing"/>
    <n v="44127"/>
    <s v="Credit Card"/>
    <s v="Yes"/>
    <n v="50980"/>
    <n v="6853"/>
    <s v="GlobalTravel"/>
    <s v="INV-32184"/>
    <s v="2026"/>
  </r>
  <r>
    <s v="EXP-5250"/>
    <x v="1"/>
    <s v="Office Supplies"/>
    <s v="Office Supplies expense - Marketing"/>
    <n v="7584"/>
    <s v="Bank Transfer"/>
    <s v="Yes"/>
    <n v="11156"/>
    <n v="3572"/>
    <s v="CloudSoft"/>
    <s v="INV-62847"/>
    <s v="2026"/>
  </r>
  <r>
    <s v="EXP-5251"/>
    <x v="1"/>
    <s v="Consulting"/>
    <s v="Consulting expense - Marketing"/>
    <n v="147207"/>
    <s v="Bank Transfer"/>
    <s v="Yes"/>
    <n v="200425"/>
    <n v="53218"/>
    <s v="Strategy Consultants"/>
    <s v="INV-43033"/>
    <s v="2026"/>
  </r>
  <r>
    <s v="EXP-5252"/>
    <x v="1"/>
    <s v="Equipment"/>
    <s v="Equipment expense - Marketing"/>
    <n v="45823"/>
    <s v="Bank Transfer"/>
    <s v="Yes"/>
    <n v="62789"/>
    <n v="16966"/>
    <s v="PowerGrid Co"/>
    <s v="INV-84096"/>
    <s v="2026"/>
  </r>
  <r>
    <s v="EXP-5253"/>
    <x v="1"/>
    <s v="Equipment"/>
    <s v="Equipment expense - Marketing"/>
    <n v="119219"/>
    <s v="Bank Transfer"/>
    <s v="No"/>
    <n v="119551"/>
    <n v="332"/>
    <s v="Strategy Consultants"/>
    <s v="INV-81511"/>
    <s v="2026"/>
  </r>
  <r>
    <s v="EXP-5254"/>
    <x v="1"/>
    <s v="Consulting"/>
    <s v="Consulting expense - Marketing"/>
    <n v="92055"/>
    <s v="Cash"/>
    <s v="Yes"/>
    <n v="136217"/>
    <n v="44162"/>
    <s v="Strategy Consultants"/>
    <s v="INV-77427"/>
    <s v="2026"/>
  </r>
  <r>
    <s v="EXP-5255"/>
    <x v="2"/>
    <s v="Software"/>
    <s v="Software expense - Sales"/>
    <n v="8884"/>
    <s v="Cheque"/>
    <s v="Yes"/>
    <n v="10775"/>
    <n v="1891"/>
    <s v="TechMart India"/>
    <s v="INV-31245"/>
    <s v="2026"/>
  </r>
  <r>
    <s v="EXP-5256"/>
    <x v="2"/>
    <s v="Software"/>
    <s v="Software expense - Sales"/>
    <n v="12891"/>
    <s v="Credit Card"/>
    <s v="Yes"/>
    <n v="14163"/>
    <n v="1272"/>
    <s v="HardwarePro"/>
    <s v="INV-74904"/>
    <s v="2026"/>
  </r>
  <r>
    <s v="EXP-5257"/>
    <x v="2"/>
    <s v="Marketing"/>
    <s v="Marketing expense - Sales"/>
    <n v="147517"/>
    <s v="Cheque"/>
    <s v="Yes"/>
    <n v="183452"/>
    <n v="35935"/>
    <s v="TechMart India"/>
    <s v="INV-48895"/>
    <s v="2026"/>
  </r>
  <r>
    <s v="EXP-5258"/>
    <x v="2"/>
    <s v="Software"/>
    <s v="Software expense - Sales"/>
    <n v="30539"/>
    <s v="Cash"/>
    <s v="No"/>
    <n v="45744"/>
    <n v="15205"/>
    <s v="PowerGrid Co"/>
    <s v="INV-90622"/>
    <s v="2026"/>
  </r>
  <r>
    <s v="EXP-5259"/>
    <x v="2"/>
    <s v="Utilities"/>
    <s v="Utilities expense - Sales"/>
    <n v="10237"/>
    <s v="Cash"/>
    <s v="No"/>
    <n v="13565"/>
    <n v="3328"/>
    <s v="PrintZone"/>
    <s v="INV-90478"/>
    <s v="2026"/>
  </r>
  <r>
    <s v="EXP-5260"/>
    <x v="2"/>
    <s v="Utilities"/>
    <s v="Utilities expense - Sales"/>
    <n v="9509"/>
    <s v="Cheque"/>
    <s v="Yes"/>
    <n v="12383"/>
    <n v="2874"/>
    <s v="PowerGrid Co"/>
    <s v="INV-27739"/>
    <s v="2026"/>
  </r>
  <r>
    <s v="EXP-5261"/>
    <x v="2"/>
    <s v="Marketing"/>
    <s v="Marketing expense - Sales"/>
    <n v="147462"/>
    <s v="Credit Card"/>
    <s v="Yes"/>
    <n v="200186"/>
    <n v="52724"/>
    <s v="HardwarePro"/>
    <s v="INV-33491"/>
    <s v="2026"/>
  </r>
  <r>
    <s v="EXP-5262"/>
    <x v="3"/>
    <s v="Consulting"/>
    <s v="Consulting expense - HR"/>
    <n v="27576"/>
    <s v="Cash"/>
    <s v="Yes"/>
    <n v="41272"/>
    <n v="13696"/>
    <s v="PrintZone"/>
    <s v="INV-22300"/>
    <s v="2026"/>
  </r>
  <r>
    <s v="EXP-5263"/>
    <x v="3"/>
    <s v="Consulting"/>
    <s v="Consulting expense - HR"/>
    <n v="96778"/>
    <s v="Cheque"/>
    <s v="No"/>
    <n v="101361"/>
    <n v="4583"/>
    <s v="CloudSoft"/>
    <s v="INV-18751"/>
    <s v="2026"/>
  </r>
  <r>
    <s v="EXP-5264"/>
    <x v="3"/>
    <s v="Utilities"/>
    <s v="Utilities expense - HR"/>
    <n v="11425"/>
    <s v="Cash"/>
    <s v="Yes"/>
    <n v="14619"/>
    <n v="3194"/>
    <s v="PrintZone"/>
    <s v="INV-45989"/>
    <s v="2026"/>
  </r>
  <r>
    <s v="EXP-5265"/>
    <x v="3"/>
    <s v="Training"/>
    <s v="Training expense - HR"/>
    <n v="29894"/>
    <s v="Cash"/>
    <s v="Yes"/>
    <n v="43518"/>
    <n v="13624"/>
    <s v="AdPro Media"/>
    <s v="INV-62857"/>
    <s v="2026"/>
  </r>
  <r>
    <s v="EXP-5266"/>
    <x v="4"/>
    <s v="Office Supplies"/>
    <s v="Office Supplies expense - Finance"/>
    <n v="1134"/>
    <s v="Bank Transfer"/>
    <s v="Yes"/>
    <n v="1470"/>
    <n v="336"/>
    <s v="CloudSoft"/>
    <s v="INV-44463"/>
    <s v="2026"/>
  </r>
  <r>
    <s v="EXP-5267"/>
    <x v="4"/>
    <s v="Software"/>
    <s v="Software expense - Finance"/>
    <n v="10303"/>
    <s v="Cheque"/>
    <s v="Yes"/>
    <n v="14408"/>
    <n v="4105"/>
    <s v="AdPro Media"/>
    <s v="INV-87616"/>
    <s v="2026"/>
  </r>
  <r>
    <s v="EXP-5268"/>
    <x v="4"/>
    <s v="Training"/>
    <s v="Training expense - Finance"/>
    <n v="29453"/>
    <s v="Cheque"/>
    <s v="Yes"/>
    <n v="40310"/>
    <n v="10857"/>
    <s v="CloudSoft"/>
    <s v="INV-10350"/>
    <s v="2026"/>
  </r>
  <r>
    <s v="EXP-5269"/>
    <x v="4"/>
    <s v="Office Supplies"/>
    <s v="Office Supplies expense - Finance"/>
    <n v="2273"/>
    <s v="Bank Transfer"/>
    <s v="Yes"/>
    <n v="2377"/>
    <n v="104"/>
    <s v="CloudSoft"/>
    <s v="INV-72320"/>
    <s v="2026"/>
  </r>
  <r>
    <s v="EXP-5270"/>
    <x v="4"/>
    <s v="Travel"/>
    <s v="Travel expense - Finance"/>
    <n v="47380"/>
    <s v="Bank Transfer"/>
    <s v="No"/>
    <n v="49223"/>
    <n v="1843"/>
    <s v="Strategy Consultants"/>
    <s v="INV-65758"/>
    <s v="2026"/>
  </r>
  <r>
    <s v="EXP-5271"/>
    <x v="5"/>
    <s v="Consulting"/>
    <s v="Consulting expense - Operations"/>
    <n v="95744"/>
    <s v="Credit Card"/>
    <s v="Yes"/>
    <n v="110228"/>
    <n v="14484"/>
    <s v="GlobalTravel"/>
    <s v="INV-61543"/>
    <s v="2026"/>
  </r>
  <r>
    <s v="EXP-5272"/>
    <x v="5"/>
    <s v="Equipment"/>
    <s v="Equipment expense - Operations"/>
    <n v="106439"/>
    <s v="Cash"/>
    <s v="Yes"/>
    <n v="126957"/>
    <n v="20518"/>
    <s v="GlobalTravel"/>
    <s v="INV-51546"/>
    <s v="2026"/>
  </r>
  <r>
    <s v="EXP-5273"/>
    <x v="5"/>
    <s v="Software"/>
    <s v="Software expense - Operations"/>
    <n v="41674"/>
    <s v="Cash"/>
    <s v="Yes"/>
    <n v="59223"/>
    <n v="17549"/>
    <s v="HardwarePro"/>
    <s v="INV-83464"/>
    <s v="2026"/>
  </r>
  <r>
    <s v="EXP-5274"/>
    <x v="5"/>
    <s v="Consulting"/>
    <s v="Consulting expense - Operations"/>
    <n v="138475"/>
    <s v="Credit Card"/>
    <s v="No"/>
    <n v="186602"/>
    <n v="48127"/>
    <s v="HardwarePro"/>
    <s v="INV-95471"/>
    <s v="2026"/>
  </r>
  <r>
    <s v="EXP-5275"/>
    <x v="5"/>
    <s v="Utilities"/>
    <s v="Utilities expense - Operations"/>
    <n v="3916"/>
    <s v="Cheque"/>
    <s v="Yes"/>
    <n v="3966"/>
    <n v="50"/>
    <s v="HardwarePro"/>
    <s v="INV-38020"/>
    <s v="2026"/>
  </r>
  <r>
    <s v="EXP-5276"/>
    <x v="5"/>
    <s v="Office Supplies"/>
    <s v="Office Supplies expense - Operations"/>
    <n v="3633"/>
    <s v="Credit Card"/>
    <s v="Yes"/>
    <n v="4313"/>
    <n v="680"/>
    <s v="Strategy Consultants"/>
    <s v="INV-57315"/>
    <s v="2026"/>
  </r>
  <r>
    <s v="EXP-5277"/>
    <x v="5"/>
    <s v="Office Supplies"/>
    <s v="Office Supplies expense - Operations"/>
    <n v="545"/>
    <s v="Credit Card"/>
    <s v="Yes"/>
    <n v="705"/>
    <n v="160"/>
    <s v="SkillUp Academy"/>
    <s v="INV-75902"/>
    <s v="2026"/>
  </r>
  <r>
    <s v="EXP-5278"/>
    <x v="5"/>
    <s v="Travel"/>
    <s v="Travel expense - Operations"/>
    <n v="40786"/>
    <s v="Cheque"/>
    <s v="Yes"/>
    <n v="41470"/>
    <n v="684"/>
    <s v="TechMart India"/>
    <s v="INV-43166"/>
    <s v="2026"/>
  </r>
  <r>
    <s v="EXP-5279"/>
    <x v="0"/>
    <s v="Travel"/>
    <s v="Travel expense - Engineering"/>
    <n v="79996"/>
    <s v="Cheque"/>
    <s v="No"/>
    <n v="112927"/>
    <n v="32931"/>
    <s v="Strategy Consultants"/>
    <s v="INV-74264"/>
    <s v="2026"/>
  </r>
  <r>
    <s v="EXP-5280"/>
    <x v="0"/>
    <s v="Marketing"/>
    <s v="Marketing expense - Engineering"/>
    <n v="134111"/>
    <s v="Credit Card"/>
    <s v="Yes"/>
    <n v="184398"/>
    <n v="50287"/>
    <s v="PowerGrid Co"/>
    <s v="INV-13779"/>
    <s v="2026"/>
  </r>
  <r>
    <s v="EXP-5281"/>
    <x v="0"/>
    <s v="Marketing"/>
    <s v="Marketing expense - Engineering"/>
    <n v="56375"/>
    <s v="Credit Card"/>
    <s v="Yes"/>
    <n v="80924"/>
    <n v="24549"/>
    <s v="QuickTravel"/>
    <s v="INV-17346"/>
    <s v="2026"/>
  </r>
  <r>
    <s v="EXP-5282"/>
    <x v="0"/>
    <s v="Consulting"/>
    <s v="Consulting expense - Engineering"/>
    <n v="177111"/>
    <s v="Credit Card"/>
    <s v="No"/>
    <n v="240038"/>
    <n v="62927"/>
    <s v="SkillUp Academy"/>
    <s v="INV-35451"/>
    <s v="2026"/>
  </r>
  <r>
    <s v="EXP-5283"/>
    <x v="0"/>
    <s v="Travel"/>
    <s v="Travel expense - Engineering"/>
    <n v="48603"/>
    <s v="Cash"/>
    <s v="Yes"/>
    <n v="68950"/>
    <n v="20347"/>
    <s v="AdPro Media"/>
    <s v="INV-58005"/>
    <s v="2026"/>
  </r>
  <r>
    <s v="EXP-5284"/>
    <x v="1"/>
    <s v="Travel"/>
    <s v="Travel expense - Marketing"/>
    <n v="57844"/>
    <s v="Credit Card"/>
    <s v="Yes"/>
    <n v="69887"/>
    <n v="12043"/>
    <s v="PrintZone"/>
    <s v="INV-75735"/>
    <s v="2026"/>
  </r>
  <r>
    <s v="EXP-5285"/>
    <x v="1"/>
    <s v="Marketing"/>
    <s v="Marketing expense - Marketing"/>
    <n v="79897"/>
    <s v="Credit Card"/>
    <s v="Yes"/>
    <n v="83251"/>
    <n v="3354"/>
    <s v="AdPro Media"/>
    <s v="INV-36041"/>
    <s v="2026"/>
  </r>
  <r>
    <s v="EXP-5286"/>
    <x v="1"/>
    <s v="Equipment"/>
    <s v="Equipment expense - Marketing"/>
    <n v="27671"/>
    <s v="Credit Card"/>
    <s v="Yes"/>
    <n v="36461"/>
    <n v="8790"/>
    <s v="SkillUp Academy"/>
    <s v="INV-83473"/>
    <s v="2026"/>
  </r>
  <r>
    <s v="EXP-5287"/>
    <x v="1"/>
    <s v="Utilities"/>
    <s v="Utilities expense - Marketing"/>
    <n v="2928"/>
    <s v="Credit Card"/>
    <s v="No"/>
    <n v="3428"/>
    <n v="500"/>
    <s v="Strategy Consultants"/>
    <s v="INV-21555"/>
    <s v="2026"/>
  </r>
  <r>
    <s v="EXP-5288"/>
    <x v="1"/>
    <s v="Software"/>
    <s v="Software expense - Marketing"/>
    <n v="7935"/>
    <s v="Bank Transfer"/>
    <s v="Yes"/>
    <n v="8659"/>
    <n v="724"/>
    <s v="AdPro Media"/>
    <s v="INV-92132"/>
    <s v="2026"/>
  </r>
  <r>
    <s v="EXP-5289"/>
    <x v="1"/>
    <s v="Travel"/>
    <s v="Travel expense - Marketing"/>
    <n v="27195"/>
    <s v="Cash"/>
    <s v="Yes"/>
    <n v="37920"/>
    <n v="10725"/>
    <s v="QuickTravel"/>
    <s v="INV-42339"/>
    <s v="2026"/>
  </r>
  <r>
    <s v="EXP-5290"/>
    <x v="1"/>
    <s v="Training"/>
    <s v="Training expense - Marketing"/>
    <n v="25311"/>
    <s v="Bank Transfer"/>
    <s v="Yes"/>
    <n v="33440"/>
    <n v="8129"/>
    <s v="SkillUp Academy"/>
    <s v="INV-16990"/>
    <s v="2026"/>
  </r>
  <r>
    <s v="EXP-5291"/>
    <x v="2"/>
    <s v="Training"/>
    <s v="Training expense - Sales"/>
    <n v="8832"/>
    <s v="Cash"/>
    <s v="Yes"/>
    <n v="10064"/>
    <n v="1232"/>
    <s v="PrintZone"/>
    <s v="INV-34673"/>
    <s v="2026"/>
  </r>
  <r>
    <s v="EXP-5292"/>
    <x v="2"/>
    <s v="Training"/>
    <s v="Training expense - Sales"/>
    <n v="9528"/>
    <s v="Cash"/>
    <s v="Yes"/>
    <n v="10372"/>
    <n v="844"/>
    <s v="SkillUp Academy"/>
    <s v="INV-22112"/>
    <s v="2026"/>
  </r>
  <r>
    <s v="EXP-5293"/>
    <x v="2"/>
    <s v="Consulting"/>
    <s v="Consulting expense - Sales"/>
    <n v="103101"/>
    <s v="Cheque"/>
    <s v="Yes"/>
    <n v="132933"/>
    <n v="29832"/>
    <s v="TechMart India"/>
    <s v="INV-86706"/>
    <s v="2026"/>
  </r>
  <r>
    <s v="EXP-5294"/>
    <x v="2"/>
    <s v="Equipment"/>
    <s v="Equipment expense - Sales"/>
    <n v="25408"/>
    <s v="Cheque"/>
    <s v="Yes"/>
    <n v="32242"/>
    <n v="6834"/>
    <s v="SkillUp Academy"/>
    <s v="INV-37190"/>
    <s v="2026"/>
  </r>
  <r>
    <s v="EXP-5295"/>
    <x v="2"/>
    <s v="Utilities"/>
    <s v="Utilities expense - Sales"/>
    <n v="12463"/>
    <s v="Cash"/>
    <s v="Yes"/>
    <n v="18498"/>
    <n v="6035"/>
    <s v="GlobalTravel"/>
    <s v="INV-37619"/>
    <s v="2026"/>
  </r>
  <r>
    <s v="EXP-5296"/>
    <x v="2"/>
    <s v="Training"/>
    <s v="Training expense - Sales"/>
    <n v="10151"/>
    <s v="Credit Card"/>
    <s v="No"/>
    <n v="12525"/>
    <n v="2374"/>
    <s v="CloudSoft"/>
    <s v="INV-72286"/>
    <s v="2026"/>
  </r>
  <r>
    <s v="EXP-5297"/>
    <x v="3"/>
    <s v="Consulting"/>
    <s v="Consulting expense - HR"/>
    <n v="163831"/>
    <s v="Cheque"/>
    <s v="No"/>
    <n v="190289"/>
    <n v="26458"/>
    <s v="TechMart India"/>
    <s v="INV-52253"/>
    <s v="2026"/>
  </r>
  <r>
    <s v="EXP-5298"/>
    <x v="3"/>
    <s v="Software"/>
    <s v="Software expense - HR"/>
    <n v="43253"/>
    <s v="Bank Transfer"/>
    <s v="Yes"/>
    <n v="51014"/>
    <n v="7761"/>
    <s v="Strategy Consultants"/>
    <s v="INV-53871"/>
    <s v="2026"/>
  </r>
  <r>
    <s v="EXP-5299"/>
    <x v="3"/>
    <s v="Utilities"/>
    <s v="Utilities expense - HR"/>
    <n v="11614"/>
    <s v="Cash"/>
    <s v="Yes"/>
    <n v="16858"/>
    <n v="5244"/>
    <s v="CloudSoft"/>
    <s v="INV-71189"/>
    <s v="2026"/>
  </r>
  <r>
    <s v="EXP-5300"/>
    <x v="3"/>
    <s v="Marketing"/>
    <s v="Marketing expense - HR"/>
    <n v="15701"/>
    <s v="Cheque"/>
    <s v="No"/>
    <n v="19147"/>
    <n v="3446"/>
    <s v="AdPro Media"/>
    <s v="INV-67012"/>
    <s v="2026"/>
  </r>
  <r>
    <s v="EXP-5301"/>
    <x v="4"/>
    <s v="Equipment"/>
    <s v="Equipment expense - Finance"/>
    <n v="67072"/>
    <s v="Cash"/>
    <s v="No"/>
    <n v="95044"/>
    <n v="27972"/>
    <s v="PowerGrid Co"/>
    <s v="INV-73249"/>
    <s v="2026"/>
  </r>
  <r>
    <s v="EXP-5302"/>
    <x v="4"/>
    <s v="Equipment"/>
    <s v="Equipment expense - Finance"/>
    <n v="44344"/>
    <s v="Credit Card"/>
    <s v="Yes"/>
    <n v="45234"/>
    <n v="890"/>
    <s v="HardwarePro"/>
    <s v="INV-45305"/>
    <s v="2026"/>
  </r>
  <r>
    <s v="EXP-5303"/>
    <x v="4"/>
    <s v="Equipment"/>
    <s v="Equipment expense - Finance"/>
    <n v="82735"/>
    <s v="Bank Transfer"/>
    <s v="Yes"/>
    <n v="83916"/>
    <n v="1181"/>
    <s v="AdPro Media"/>
    <s v="INV-78692"/>
    <s v="2026"/>
  </r>
  <r>
    <s v="EXP-5304"/>
    <x v="4"/>
    <s v="Office Supplies"/>
    <s v="Office Supplies expense - Finance"/>
    <n v="5152"/>
    <s v="Cash"/>
    <s v="Yes"/>
    <n v="7089"/>
    <n v="1937"/>
    <s v="QuickTravel"/>
    <s v="INV-50537"/>
    <s v="2026"/>
  </r>
  <r>
    <s v="EXP-5305"/>
    <x v="4"/>
    <s v="Marketing"/>
    <s v="Marketing expense - Finance"/>
    <n v="100728"/>
    <s v="Cheque"/>
    <s v="Yes"/>
    <n v="123831"/>
    <n v="23103"/>
    <s v="CloudSoft"/>
    <s v="INV-36267"/>
    <s v="2026"/>
  </r>
  <r>
    <s v="EXP-5306"/>
    <x v="4"/>
    <s v="Marketing"/>
    <s v="Marketing expense - Finance"/>
    <n v="88979"/>
    <s v="Bank Transfer"/>
    <s v="Yes"/>
    <n v="102661"/>
    <n v="13682"/>
    <s v="HardwarePro"/>
    <s v="INV-21818"/>
    <s v="2026"/>
  </r>
  <r>
    <s v="EXP-5307"/>
    <x v="4"/>
    <s v="Office Supplies"/>
    <s v="Office Supplies expense - Finance"/>
    <n v="1762"/>
    <s v="Cash"/>
    <s v="Yes"/>
    <n v="2365"/>
    <n v="603"/>
    <s v="Strategy Consultants"/>
    <s v="INV-30883"/>
    <s v="2026"/>
  </r>
  <r>
    <s v="EXP-5308"/>
    <x v="4"/>
    <s v="Utilities"/>
    <s v="Utilities expense - Finance"/>
    <n v="2636"/>
    <s v="Cheque"/>
    <s v="Yes"/>
    <n v="3257"/>
    <n v="621"/>
    <s v="Strategy Consultants"/>
    <s v="INV-97613"/>
    <s v="2026"/>
  </r>
  <r>
    <s v="EXP-5309"/>
    <x v="5"/>
    <s v="Consulting"/>
    <s v="Consulting expense - Operations"/>
    <n v="195132"/>
    <s v="Cheque"/>
    <s v="Yes"/>
    <n v="218815"/>
    <n v="23683"/>
    <s v="PowerGrid Co"/>
    <s v="INV-27501"/>
    <s v="2026"/>
  </r>
  <r>
    <s v="EXP-5310"/>
    <x v="5"/>
    <s v="Equipment"/>
    <s v="Equipment expense - Operations"/>
    <n v="106352"/>
    <s v="Cheque"/>
    <s v="No"/>
    <n v="123746"/>
    <n v="17394"/>
    <s v="HardwarePro"/>
    <s v="INV-80007"/>
    <s v="2026"/>
  </r>
  <r>
    <s v="EXP-5311"/>
    <x v="5"/>
    <s v="Software"/>
    <s v="Software expense - Operations"/>
    <n v="24732"/>
    <s v="Credit Card"/>
    <s v="Yes"/>
    <n v="30770"/>
    <n v="6038"/>
    <s v="AdPro Media"/>
    <s v="INV-33351"/>
    <s v="2026"/>
  </r>
  <r>
    <s v="EXP-5312"/>
    <x v="5"/>
    <s v="Office Supplies"/>
    <s v="Office Supplies expense - Operations"/>
    <n v="3523"/>
    <s v="Credit Card"/>
    <s v="No"/>
    <n v="4161"/>
    <n v="638"/>
    <s v="AdPro Media"/>
    <s v="INV-62190"/>
    <s v="2026"/>
  </r>
  <r>
    <s v="EXP-5313"/>
    <x v="5"/>
    <s v="Software"/>
    <s v="Software expense - Operations"/>
    <n v="44308"/>
    <s v="Bank Transfer"/>
    <s v="Yes"/>
    <n v="49405"/>
    <n v="5097"/>
    <s v="PrintZone"/>
    <s v="INV-49575"/>
    <s v="2026"/>
  </r>
  <r>
    <s v="EXP-5314"/>
    <x v="5"/>
    <s v="Equipment"/>
    <s v="Equipment expense - Operations"/>
    <n v="17170"/>
    <s v="Bank Transfer"/>
    <s v="Yes"/>
    <n v="20085"/>
    <n v="2915"/>
    <s v="CloudSoft"/>
    <s v="INV-47350"/>
    <s v="2026"/>
  </r>
  <r>
    <s v="EXP-5315"/>
    <x v="0"/>
    <s v="Equipment"/>
    <s v="Equipment expense - Engineering"/>
    <n v="93509"/>
    <s v="Cash"/>
    <s v="Yes"/>
    <n v="131907"/>
    <n v="38398"/>
    <s v="CloudSoft"/>
    <s v="INV-31435"/>
    <s v="2026"/>
  </r>
  <r>
    <s v="EXP-5316"/>
    <x v="0"/>
    <s v="Equipment"/>
    <s v="Equipment expense - Engineering"/>
    <n v="94435"/>
    <s v="Cheque"/>
    <s v="Yes"/>
    <n v="118863"/>
    <n v="24428"/>
    <s v="PowerGrid Co"/>
    <s v="INV-99923"/>
    <s v="2026"/>
  </r>
  <r>
    <s v="EXP-5317"/>
    <x v="0"/>
    <s v="Software"/>
    <s v="Software expense - Engineering"/>
    <n v="44983"/>
    <s v="Credit Card"/>
    <s v="Yes"/>
    <n v="64381"/>
    <n v="19398"/>
    <s v="PowerGrid Co"/>
    <s v="INV-26874"/>
    <s v="2026"/>
  </r>
  <r>
    <s v="EXP-5318"/>
    <x v="0"/>
    <s v="Equipment"/>
    <s v="Equipment expense - Engineering"/>
    <n v="94954"/>
    <s v="Cheque"/>
    <s v="Yes"/>
    <n v="116541"/>
    <n v="21587"/>
    <s v="TechMart India"/>
    <s v="INV-49708"/>
    <s v="2026"/>
  </r>
  <r>
    <s v="EXP-5319"/>
    <x v="0"/>
    <s v="Equipment"/>
    <s v="Equipment expense - Engineering"/>
    <n v="38901"/>
    <s v="Cheque"/>
    <s v="No"/>
    <n v="53335"/>
    <n v="14434"/>
    <s v="PowerGrid Co"/>
    <s v="INV-72068"/>
    <s v="2026"/>
  </r>
  <r>
    <s v="EXP-5320"/>
    <x v="1"/>
    <s v="Utilities"/>
    <s v="Utilities expense - Marketing"/>
    <n v="14830"/>
    <s v="Credit Card"/>
    <s v="Yes"/>
    <n v="18797"/>
    <n v="3967"/>
    <s v="HardwarePro"/>
    <s v="INV-79692"/>
    <s v="2026"/>
  </r>
  <r>
    <s v="EXP-5321"/>
    <x v="1"/>
    <s v="Equipment"/>
    <s v="Equipment expense - Marketing"/>
    <n v="119073"/>
    <s v="Credit Card"/>
    <s v="Yes"/>
    <n v="159243"/>
    <n v="40170"/>
    <s v="AdPro Media"/>
    <s v="INV-43795"/>
    <s v="2026"/>
  </r>
  <r>
    <s v="EXP-5322"/>
    <x v="1"/>
    <s v="Office Supplies"/>
    <s v="Office Supplies expense - Marketing"/>
    <n v="4718"/>
    <s v="Cheque"/>
    <s v="Yes"/>
    <n v="6635"/>
    <n v="1917"/>
    <s v="TechMart India"/>
    <s v="INV-70917"/>
    <s v="2026"/>
  </r>
  <r>
    <s v="EXP-5323"/>
    <x v="1"/>
    <s v="Training"/>
    <s v="Training expense - Marketing"/>
    <n v="4305"/>
    <s v="Cheque"/>
    <s v="Yes"/>
    <n v="4567"/>
    <n v="262"/>
    <s v="TechMart India"/>
    <s v="INV-88555"/>
    <s v="2026"/>
  </r>
  <r>
    <s v="EXP-5324"/>
    <x v="1"/>
    <s v="Utilities"/>
    <s v="Utilities expense - Marketing"/>
    <n v="5134"/>
    <s v="Cash"/>
    <s v="Yes"/>
    <n v="6227"/>
    <n v="1093"/>
    <s v="GlobalTravel"/>
    <s v="INV-45027"/>
    <s v="2026"/>
  </r>
  <r>
    <s v="EXP-5325"/>
    <x v="1"/>
    <s v="Marketing"/>
    <s v="Marketing expense - Marketing"/>
    <n v="86871"/>
    <s v="Cheque"/>
    <s v="Yes"/>
    <n v="102372"/>
    <n v="15501"/>
    <s v="SkillUp Academy"/>
    <s v="INV-93359"/>
    <s v="2026"/>
  </r>
  <r>
    <s v="EXP-5326"/>
    <x v="1"/>
    <s v="Travel"/>
    <s v="Travel expense - Marketing"/>
    <n v="19638"/>
    <s v="Cheque"/>
    <s v="Yes"/>
    <n v="23146"/>
    <n v="3508"/>
    <s v="CloudSoft"/>
    <s v="INV-21016"/>
    <s v="2026"/>
  </r>
  <r>
    <s v="EXP-5327"/>
    <x v="1"/>
    <s v="Software"/>
    <s v="Software expense - Marketing"/>
    <n v="10261"/>
    <s v="Cheque"/>
    <s v="Yes"/>
    <n v="13990"/>
    <n v="3729"/>
    <s v="SkillUp Academy"/>
    <s v="INV-55270"/>
    <s v="2026"/>
  </r>
  <r>
    <s v="EXP-5328"/>
    <x v="2"/>
    <s v="Office Supplies"/>
    <s v="Office Supplies expense - Sales"/>
    <n v="7263"/>
    <s v="Cheque"/>
    <s v="Yes"/>
    <n v="10544"/>
    <n v="3281"/>
    <s v="QuickTravel"/>
    <s v="INV-52806"/>
    <s v="2026"/>
  </r>
  <r>
    <s v="EXP-5329"/>
    <x v="2"/>
    <s v="Utilities"/>
    <s v="Utilities expense - Sales"/>
    <n v="1627"/>
    <s v="Credit Card"/>
    <s v="Yes"/>
    <n v="1746"/>
    <n v="119"/>
    <s v="GlobalTravel"/>
    <s v="INV-20323"/>
    <s v="2026"/>
  </r>
  <r>
    <s v="EXP-5330"/>
    <x v="2"/>
    <s v="Utilities"/>
    <s v="Utilities expense - Sales"/>
    <n v="11432"/>
    <s v="Cheque"/>
    <s v="Yes"/>
    <n v="15715"/>
    <n v="4283"/>
    <s v="CloudSoft"/>
    <s v="INV-43666"/>
    <s v="2026"/>
  </r>
  <r>
    <s v="EXP-5331"/>
    <x v="2"/>
    <s v="Software"/>
    <s v="Software expense - Sales"/>
    <n v="30405"/>
    <s v="Bank Transfer"/>
    <s v="No"/>
    <n v="45078"/>
    <n v="14673"/>
    <s v="SkillUp Academy"/>
    <s v="INV-49741"/>
    <s v="2026"/>
  </r>
  <r>
    <s v="EXP-5332"/>
    <x v="2"/>
    <s v="Office Supplies"/>
    <s v="Office Supplies expense - Sales"/>
    <n v="6187"/>
    <s v="Cheque"/>
    <s v="Yes"/>
    <n v="8659"/>
    <n v="2472"/>
    <s v="HardwarePro"/>
    <s v="INV-46016"/>
    <s v="2026"/>
  </r>
  <r>
    <s v="EXP-5333"/>
    <x v="2"/>
    <s v="Marketing"/>
    <s v="Marketing expense - Sales"/>
    <n v="82575"/>
    <s v="Cheque"/>
    <s v="Yes"/>
    <n v="103283"/>
    <n v="20708"/>
    <s v="SkillUp Academy"/>
    <s v="INV-45740"/>
    <s v="2026"/>
  </r>
  <r>
    <s v="EXP-5334"/>
    <x v="3"/>
    <s v="Equipment"/>
    <s v="Equipment expense - HR"/>
    <n v="32149"/>
    <s v="Bank Transfer"/>
    <s v="Yes"/>
    <n v="32450"/>
    <n v="301"/>
    <s v="SkillUp Academy"/>
    <s v="INV-70613"/>
    <s v="2026"/>
  </r>
  <r>
    <s v="EXP-5335"/>
    <x v="3"/>
    <s v="Utilities"/>
    <s v="Utilities expense - HR"/>
    <n v="2591"/>
    <s v="Cash"/>
    <s v="Yes"/>
    <n v="2878"/>
    <n v="287"/>
    <s v="QuickTravel"/>
    <s v="INV-90135"/>
    <s v="2026"/>
  </r>
  <r>
    <s v="EXP-5336"/>
    <x v="3"/>
    <s v="Training"/>
    <s v="Training expense - HR"/>
    <n v="26860"/>
    <s v="Cheque"/>
    <s v="No"/>
    <n v="36423"/>
    <n v="9563"/>
    <s v="HardwarePro"/>
    <s v="INV-93200"/>
    <s v="2026"/>
  </r>
  <r>
    <s v="EXP-5337"/>
    <x v="4"/>
    <s v="Utilities"/>
    <s v="Utilities expense - Finance"/>
    <n v="9871"/>
    <s v="Credit Card"/>
    <s v="Yes"/>
    <n v="11791"/>
    <n v="1920"/>
    <s v="PowerGrid Co"/>
    <s v="INV-51896"/>
    <s v="2026"/>
  </r>
  <r>
    <s v="EXP-5338"/>
    <x v="4"/>
    <s v="Utilities"/>
    <s v="Utilities expense - Finance"/>
    <n v="14477"/>
    <s v="Cheque"/>
    <s v="Yes"/>
    <n v="17694"/>
    <n v="3217"/>
    <s v="GlobalTravel"/>
    <s v="INV-32283"/>
    <s v="2026"/>
  </r>
  <r>
    <s v="EXP-5339"/>
    <x v="4"/>
    <s v="Equipment"/>
    <s v="Equipment expense - Finance"/>
    <n v="38514"/>
    <s v="Credit Card"/>
    <s v="Yes"/>
    <n v="46273"/>
    <n v="7759"/>
    <s v="GlobalTravel"/>
    <s v="INV-55259"/>
    <s v="2026"/>
  </r>
  <r>
    <s v="EXP-5340"/>
    <x v="4"/>
    <s v="Software"/>
    <s v="Software expense - Finance"/>
    <n v="15602"/>
    <s v="Cash"/>
    <s v="Yes"/>
    <n v="21437"/>
    <n v="5835"/>
    <s v="SkillUp Academy"/>
    <s v="INV-51331"/>
    <s v="2026"/>
  </r>
  <r>
    <s v="EXP-5341"/>
    <x v="4"/>
    <s v="Consulting"/>
    <s v="Consulting expense - Finance"/>
    <n v="186816"/>
    <s v="Bank Transfer"/>
    <s v="No"/>
    <n v="230473"/>
    <n v="43657"/>
    <s v="PowerGrid Co"/>
    <s v="INV-84041"/>
    <s v="2026"/>
  </r>
  <r>
    <s v="EXP-5342"/>
    <x v="4"/>
    <s v="Equipment"/>
    <s v="Equipment expense - Finance"/>
    <n v="59446"/>
    <s v="Cash"/>
    <s v="No"/>
    <n v="89045"/>
    <n v="29599"/>
    <s v="Strategy Consultants"/>
    <s v="INV-40765"/>
    <s v="2026"/>
  </r>
  <r>
    <s v="EXP-5343"/>
    <x v="4"/>
    <s v="Equipment"/>
    <s v="Equipment expense - Finance"/>
    <n v="75463"/>
    <s v="Credit Card"/>
    <s v="Yes"/>
    <n v="80432"/>
    <n v="4969"/>
    <s v="HardwarePro"/>
    <s v="INV-38613"/>
    <s v="2026"/>
  </r>
  <r>
    <s v="EXP-5344"/>
    <x v="5"/>
    <s v="Software"/>
    <s v="Software expense - Operations"/>
    <n v="39404"/>
    <s v="Bank Transfer"/>
    <s v="Yes"/>
    <n v="45105"/>
    <n v="5701"/>
    <s v="GlobalTravel"/>
    <s v="INV-63545"/>
    <s v="2026"/>
  </r>
  <r>
    <s v="EXP-5345"/>
    <x v="5"/>
    <s v="Utilities"/>
    <s v="Utilities expense - Operations"/>
    <n v="13308"/>
    <s v="Cash"/>
    <s v="Yes"/>
    <n v="14757"/>
    <n v="1449"/>
    <s v="PowerGrid Co"/>
    <s v="INV-92611"/>
    <s v="2026"/>
  </r>
  <r>
    <s v="EXP-5346"/>
    <x v="5"/>
    <s v="Software"/>
    <s v="Software expense - Operations"/>
    <n v="45531"/>
    <s v="Cash"/>
    <s v="No"/>
    <n v="65673"/>
    <n v="20142"/>
    <s v="GlobalTravel"/>
    <s v="INV-79796"/>
    <s v="2026"/>
  </r>
  <r>
    <s v="EXP-5347"/>
    <x v="5"/>
    <s v="Equipment"/>
    <s v="Equipment expense - Operations"/>
    <n v="34504"/>
    <s v="Cheque"/>
    <s v="Yes"/>
    <n v="49324"/>
    <n v="14820"/>
    <s v="Strategy Consultants"/>
    <s v="INV-30574"/>
    <s v="2026"/>
  </r>
  <r>
    <s v="EXP-5348"/>
    <x v="0"/>
    <s v="Equipment"/>
    <s v="Equipment expense - Engineering"/>
    <n v="42802"/>
    <s v="Cash"/>
    <s v="Yes"/>
    <n v="42873"/>
    <n v="71"/>
    <s v="CloudSoft"/>
    <s v="INV-99568"/>
    <s v="2026"/>
  </r>
  <r>
    <s v="EXP-5349"/>
    <x v="0"/>
    <s v="Software"/>
    <s v="Software expense - Engineering"/>
    <n v="27123"/>
    <s v="Cheque"/>
    <s v="Yes"/>
    <n v="34991"/>
    <n v="7868"/>
    <s v="PrintZone"/>
    <s v="INV-93416"/>
    <s v="2026"/>
  </r>
  <r>
    <s v="EXP-5350"/>
    <x v="0"/>
    <s v="Travel"/>
    <s v="Travel expense - Engineering"/>
    <n v="34385"/>
    <s v="Credit Card"/>
    <s v="No"/>
    <n v="36767"/>
    <n v="2382"/>
    <s v="AdPro Media"/>
    <s v="INV-63578"/>
    <s v="2026"/>
  </r>
  <r>
    <s v="EXP-5351"/>
    <x v="0"/>
    <s v="Travel"/>
    <s v="Travel expense - Engineering"/>
    <n v="47601"/>
    <s v="Cheque"/>
    <s v="Yes"/>
    <n v="62115"/>
    <n v="14514"/>
    <s v="PowerGrid Co"/>
    <s v="INV-12977"/>
    <s v="2026"/>
  </r>
  <r>
    <s v="EXP-5352"/>
    <x v="1"/>
    <s v="Equipment"/>
    <s v="Equipment expense - Marketing"/>
    <n v="77359"/>
    <s v="Bank Transfer"/>
    <s v="Yes"/>
    <n v="97137"/>
    <n v="19778"/>
    <s v="PowerGrid Co"/>
    <s v="INV-41367"/>
    <s v="2026"/>
  </r>
  <r>
    <s v="EXP-5353"/>
    <x v="1"/>
    <s v="Marketing"/>
    <s v="Marketing expense - Marketing"/>
    <n v="133776"/>
    <s v="Cash"/>
    <s v="Yes"/>
    <n v="196459"/>
    <n v="62683"/>
    <s v="SkillUp Academy"/>
    <s v="INV-18495"/>
    <s v="2026"/>
  </r>
  <r>
    <s v="EXP-5354"/>
    <x v="1"/>
    <s v="Travel"/>
    <s v="Travel expense - Marketing"/>
    <n v="32132"/>
    <s v="Bank Transfer"/>
    <s v="No"/>
    <n v="41412"/>
    <n v="9280"/>
    <s v="Strategy Consultants"/>
    <s v="INV-41704"/>
    <s v="2026"/>
  </r>
  <r>
    <s v="EXP-5355"/>
    <x v="1"/>
    <s v="Marketing"/>
    <s v="Marketing expense - Marketing"/>
    <n v="130954"/>
    <s v="Cash"/>
    <s v="Yes"/>
    <n v="163707"/>
    <n v="32753"/>
    <s v="PrintZone"/>
    <s v="INV-70583"/>
    <s v="2026"/>
  </r>
  <r>
    <s v="EXP-5356"/>
    <x v="1"/>
    <s v="Software"/>
    <s v="Software expense - Marketing"/>
    <n v="2451"/>
    <s v="Cheque"/>
    <s v="No"/>
    <n v="3368"/>
    <n v="917"/>
    <s v="Strategy Consultants"/>
    <s v="INV-60504"/>
    <s v="2026"/>
  </r>
  <r>
    <s v="EXP-5357"/>
    <x v="1"/>
    <s v="Software"/>
    <s v="Software expense - Marketing"/>
    <n v="29334"/>
    <s v="Credit Card"/>
    <s v="No"/>
    <n v="43379"/>
    <n v="14045"/>
    <s v="GlobalTravel"/>
    <s v="INV-13109"/>
    <s v="2026"/>
  </r>
  <r>
    <s v="EXP-5358"/>
    <x v="1"/>
    <s v="Consulting"/>
    <s v="Consulting expense - Marketing"/>
    <n v="136040"/>
    <s v="Cash"/>
    <s v="Yes"/>
    <n v="192344"/>
    <n v="56304"/>
    <s v="TechMart India"/>
    <s v="INV-57628"/>
    <s v="2026"/>
  </r>
  <r>
    <s v="EXP-5359"/>
    <x v="1"/>
    <s v="Equipment"/>
    <s v="Equipment expense - Marketing"/>
    <n v="98929"/>
    <s v="Cheque"/>
    <s v="Yes"/>
    <n v="144802"/>
    <n v="45873"/>
    <s v="QuickTravel"/>
    <s v="INV-23582"/>
    <s v="2026"/>
  </r>
  <r>
    <s v="EXP-5360"/>
    <x v="2"/>
    <s v="Training"/>
    <s v="Training expense - Sales"/>
    <n v="27836"/>
    <s v="Credit Card"/>
    <s v="Yes"/>
    <n v="39322"/>
    <n v="11486"/>
    <s v="PowerGrid Co"/>
    <s v="INV-64118"/>
    <s v="2026"/>
  </r>
  <r>
    <s v="EXP-5361"/>
    <x v="2"/>
    <s v="Utilities"/>
    <s v="Utilities expense - Sales"/>
    <n v="3325"/>
    <s v="Cheque"/>
    <s v="Yes"/>
    <n v="4843"/>
    <n v="1518"/>
    <s v="SkillUp Academy"/>
    <s v="INV-22730"/>
    <s v="2026"/>
  </r>
  <r>
    <s v="EXP-5362"/>
    <x v="2"/>
    <s v="Utilities"/>
    <s v="Utilities expense - Sales"/>
    <n v="11519"/>
    <s v="Cheque"/>
    <s v="Yes"/>
    <n v="15514"/>
    <n v="3995"/>
    <s v="SkillUp Academy"/>
    <s v="INV-54884"/>
    <s v="2026"/>
  </r>
  <r>
    <s v="EXP-5363"/>
    <x v="2"/>
    <s v="Training"/>
    <s v="Training expense - Sales"/>
    <n v="25583"/>
    <s v="Cheque"/>
    <s v="Yes"/>
    <n v="31271"/>
    <n v="5688"/>
    <s v="AdPro Media"/>
    <s v="INV-46083"/>
    <s v="2026"/>
  </r>
  <r>
    <s v="EXP-5364"/>
    <x v="3"/>
    <s v="Travel"/>
    <s v="Travel expense - HR"/>
    <n v="23352"/>
    <s v="Credit Card"/>
    <s v="Yes"/>
    <n v="25080"/>
    <n v="1728"/>
    <s v="PowerGrid Co"/>
    <s v="INV-83864"/>
    <s v="2026"/>
  </r>
  <r>
    <s v="EXP-5365"/>
    <x v="3"/>
    <s v="Utilities"/>
    <s v="Utilities expense - HR"/>
    <n v="12694"/>
    <s v="Bank Transfer"/>
    <s v="No"/>
    <n v="14542"/>
    <n v="1848"/>
    <s v="SkillUp Academy"/>
    <s v="INV-72296"/>
    <s v="2026"/>
  </r>
  <r>
    <s v="EXP-5366"/>
    <x v="3"/>
    <s v="Consulting"/>
    <s v="Consulting expense - HR"/>
    <n v="186495"/>
    <s v="Bank Transfer"/>
    <s v="Yes"/>
    <n v="213992"/>
    <n v="27497"/>
    <s v="AdPro Media"/>
    <s v="INV-48316"/>
    <s v="2026"/>
  </r>
  <r>
    <s v="EXP-5367"/>
    <x v="3"/>
    <s v="Equipment"/>
    <s v="Equipment expense - HR"/>
    <n v="38725"/>
    <s v="Bank Transfer"/>
    <s v="No"/>
    <n v="51054"/>
    <n v="12329"/>
    <s v="SkillUp Academy"/>
    <s v="INV-29446"/>
    <s v="2026"/>
  </r>
  <r>
    <s v="EXP-5368"/>
    <x v="3"/>
    <s v="Travel"/>
    <s v="Travel expense - HR"/>
    <n v="39002"/>
    <s v="Cheque"/>
    <s v="Yes"/>
    <n v="46104"/>
    <n v="7102"/>
    <s v="AdPro Media"/>
    <s v="INV-32335"/>
    <s v="2026"/>
  </r>
  <r>
    <s v="EXP-5369"/>
    <x v="3"/>
    <s v="Utilities"/>
    <s v="Utilities expense - HR"/>
    <n v="11548"/>
    <s v="Cash"/>
    <s v="No"/>
    <n v="12448"/>
    <n v="900"/>
    <s v="PowerGrid Co"/>
    <s v="INV-59542"/>
    <s v="2026"/>
  </r>
  <r>
    <s v="EXP-5370"/>
    <x v="3"/>
    <s v="Consulting"/>
    <s v="Consulting expense - HR"/>
    <n v="179968"/>
    <s v="Cheque"/>
    <s v="Yes"/>
    <n v="195186"/>
    <n v="15218"/>
    <s v="Strategy Consultants"/>
    <s v="INV-59790"/>
    <s v="2026"/>
  </r>
  <r>
    <s v="EXP-5371"/>
    <x v="4"/>
    <s v="Software"/>
    <s v="Software expense - Finance"/>
    <n v="24437"/>
    <s v="Bank Transfer"/>
    <s v="Yes"/>
    <n v="27184"/>
    <n v="2747"/>
    <s v="SkillUp Academy"/>
    <s v="INV-89775"/>
    <s v="2026"/>
  </r>
  <r>
    <s v="EXP-5372"/>
    <x v="4"/>
    <s v="Software"/>
    <s v="Software expense - Finance"/>
    <n v="44598"/>
    <s v="Cheque"/>
    <s v="No"/>
    <n v="48990"/>
    <n v="4392"/>
    <s v="TechMart India"/>
    <s v="INV-78697"/>
    <s v="2026"/>
  </r>
  <r>
    <s v="EXP-5373"/>
    <x v="4"/>
    <s v="Office Supplies"/>
    <s v="Office Supplies expense - Finance"/>
    <n v="6573"/>
    <s v="Credit Card"/>
    <s v="Yes"/>
    <n v="7239"/>
    <n v="666"/>
    <s v="QuickTravel"/>
    <s v="INV-53190"/>
    <s v="2026"/>
  </r>
  <r>
    <s v="EXP-5374"/>
    <x v="5"/>
    <s v="Software"/>
    <s v="Software expense - Operations"/>
    <n v="19791"/>
    <s v="Credit Card"/>
    <s v="Yes"/>
    <n v="25266"/>
    <n v="5475"/>
    <s v="Strategy Consultants"/>
    <s v="INV-84278"/>
    <s v="2026"/>
  </r>
  <r>
    <s v="EXP-5375"/>
    <x v="5"/>
    <s v="Office Supplies"/>
    <s v="Office Supplies expense - Operations"/>
    <n v="2504"/>
    <s v="Bank Transfer"/>
    <s v="Yes"/>
    <n v="2825"/>
    <n v="321"/>
    <s v="PrintZone"/>
    <s v="INV-69777"/>
    <s v="2026"/>
  </r>
  <r>
    <s v="EXP-5376"/>
    <x v="5"/>
    <s v="Marketing"/>
    <s v="Marketing expense - Operations"/>
    <n v="20546"/>
    <s v="Cash"/>
    <s v="Yes"/>
    <n v="30607"/>
    <n v="10061"/>
    <s v="PrintZone"/>
    <s v="INV-18345"/>
    <s v="2026"/>
  </r>
  <r>
    <s v="EXP-5377"/>
    <x v="5"/>
    <s v="Marketing"/>
    <s v="Marketing expense - Operations"/>
    <n v="146985"/>
    <s v="Bank Transfer"/>
    <s v="Yes"/>
    <n v="169236"/>
    <n v="22251"/>
    <s v="AdPro Media"/>
    <s v="INV-86188"/>
    <s v="2026"/>
  </r>
  <r>
    <s v="EXP-5378"/>
    <x v="5"/>
    <s v="Consulting"/>
    <s v="Consulting expense - Operations"/>
    <n v="131705"/>
    <s v="Credit Card"/>
    <s v="Yes"/>
    <n v="138176"/>
    <n v="6471"/>
    <s v="QuickTravel"/>
    <s v="INV-35745"/>
    <s v="2026"/>
  </r>
  <r>
    <s v="EXP-5379"/>
    <x v="5"/>
    <s v="Consulting"/>
    <s v="Consulting expense - Operations"/>
    <n v="40515"/>
    <s v="Bank Transfer"/>
    <s v="Yes"/>
    <n v="49467"/>
    <n v="8952"/>
    <s v="GlobalTravel"/>
    <s v="INV-87250"/>
    <s v="2026"/>
  </r>
  <r>
    <s v="EXP-5380"/>
    <x v="5"/>
    <s v="Office Supplies"/>
    <s v="Office Supplies expense - Operations"/>
    <n v="5401"/>
    <s v="Credit Card"/>
    <s v="No"/>
    <n v="6717"/>
    <n v="1316"/>
    <s v="HardwarePro"/>
    <s v="INV-24617"/>
    <s v="2026"/>
  </r>
  <r>
    <s v="EXP-5381"/>
    <x v="0"/>
    <s v="Consulting"/>
    <s v="Consulting expense - Engineering"/>
    <n v="178460"/>
    <s v="Cheque"/>
    <s v="Yes"/>
    <n v="195842"/>
    <n v="17382"/>
    <s v="SkillUp Academy"/>
    <s v="INV-63368"/>
    <s v="2026"/>
  </r>
  <r>
    <s v="EXP-5382"/>
    <x v="0"/>
    <s v="Training"/>
    <s v="Training expense - Engineering"/>
    <n v="19141"/>
    <s v="Cheque"/>
    <s v="No"/>
    <n v="25181"/>
    <n v="6040"/>
    <s v="SkillUp Academy"/>
    <s v="INV-94578"/>
    <s v="2026"/>
  </r>
  <r>
    <s v="EXP-5383"/>
    <x v="0"/>
    <s v="Training"/>
    <s v="Training expense - Engineering"/>
    <n v="11657"/>
    <s v="Cash"/>
    <s v="Yes"/>
    <n v="16712"/>
    <n v="5055"/>
    <s v="GlobalTravel"/>
    <s v="INV-75937"/>
    <s v="2026"/>
  </r>
  <r>
    <s v="EXP-5384"/>
    <x v="0"/>
    <s v="Training"/>
    <s v="Training expense - Engineering"/>
    <n v="23510"/>
    <s v="Bank Transfer"/>
    <s v="Yes"/>
    <n v="28683"/>
    <n v="5173"/>
    <s v="TechMart India"/>
    <s v="INV-51839"/>
    <s v="2026"/>
  </r>
  <r>
    <s v="EXP-5385"/>
    <x v="0"/>
    <s v="Consulting"/>
    <s v="Consulting expense - Engineering"/>
    <n v="139967"/>
    <s v="Cheque"/>
    <s v="Yes"/>
    <n v="151383"/>
    <n v="11416"/>
    <s v="QuickTravel"/>
    <s v="INV-68090"/>
    <s v="2026"/>
  </r>
  <r>
    <s v="EXP-5386"/>
    <x v="0"/>
    <s v="Utilities"/>
    <s v="Utilities expense - Engineering"/>
    <n v="11451"/>
    <s v="Bank Transfer"/>
    <s v="Yes"/>
    <n v="15384"/>
    <n v="3933"/>
    <s v="QuickTravel"/>
    <s v="INV-40382"/>
    <s v="2026"/>
  </r>
  <r>
    <s v="EXP-5387"/>
    <x v="0"/>
    <s v="Office Supplies"/>
    <s v="Office Supplies expense - Engineering"/>
    <n v="3016"/>
    <s v="Cheque"/>
    <s v="Yes"/>
    <n v="3773"/>
    <n v="757"/>
    <s v="SkillUp Academy"/>
    <s v="INV-89891"/>
    <s v="2026"/>
  </r>
  <r>
    <s v="EXP-5388"/>
    <x v="0"/>
    <s v="Office Supplies"/>
    <s v="Office Supplies expense - Engineering"/>
    <n v="5177"/>
    <s v="Bank Transfer"/>
    <s v="Yes"/>
    <n v="6916"/>
    <n v="1739"/>
    <s v="HardwarePro"/>
    <s v="INV-32515"/>
    <s v="2026"/>
  </r>
  <r>
    <s v="EXP-5389"/>
    <x v="1"/>
    <s v="Marketing"/>
    <s v="Marketing expense - Marketing"/>
    <n v="95375"/>
    <s v="Cheque"/>
    <s v="Yes"/>
    <n v="140998"/>
    <n v="45623"/>
    <s v="PrintZone"/>
    <s v="INV-44452"/>
    <s v="2026"/>
  </r>
  <r>
    <s v="EXP-5390"/>
    <x v="1"/>
    <s v="Consulting"/>
    <s v="Consulting expense - Marketing"/>
    <n v="89591"/>
    <s v="Cash"/>
    <s v="Yes"/>
    <n v="106201"/>
    <n v="16610"/>
    <s v="PowerGrid Co"/>
    <s v="INV-68944"/>
    <s v="2026"/>
  </r>
  <r>
    <s v="EXP-5391"/>
    <x v="1"/>
    <s v="Training"/>
    <s v="Training expense - Marketing"/>
    <n v="16936"/>
    <s v="Cheque"/>
    <s v="Yes"/>
    <n v="21706"/>
    <n v="4770"/>
    <s v="HardwarePro"/>
    <s v="INV-17249"/>
    <s v="2026"/>
  </r>
  <r>
    <s v="EXP-5392"/>
    <x v="1"/>
    <s v="Equipment"/>
    <s v="Equipment expense - Marketing"/>
    <n v="51348"/>
    <s v="Cheque"/>
    <s v="Yes"/>
    <n v="67928"/>
    <n v="16580"/>
    <s v="TechMart India"/>
    <s v="INV-36504"/>
    <s v="2026"/>
  </r>
  <r>
    <s v="EXP-5393"/>
    <x v="2"/>
    <s v="Training"/>
    <s v="Training expense - Sales"/>
    <n v="12659"/>
    <s v="Cash"/>
    <s v="Yes"/>
    <n v="17929"/>
    <n v="5270"/>
    <s v="HardwarePro"/>
    <s v="INV-52688"/>
    <s v="2026"/>
  </r>
  <r>
    <s v="EXP-5394"/>
    <x v="2"/>
    <s v="Office Supplies"/>
    <s v="Office Supplies expense - Sales"/>
    <n v="7032"/>
    <s v="Cheque"/>
    <s v="Yes"/>
    <n v="7788"/>
    <n v="756"/>
    <s v="QuickTravel"/>
    <s v="INV-19755"/>
    <s v="2026"/>
  </r>
  <r>
    <s v="EXP-5395"/>
    <x v="2"/>
    <s v="Office Supplies"/>
    <s v="Office Supplies expense - Sales"/>
    <n v="1814"/>
    <s v="Cheque"/>
    <s v="Yes"/>
    <n v="2109"/>
    <n v="295"/>
    <s v="HardwarePro"/>
    <s v="INV-73837"/>
    <s v="2026"/>
  </r>
  <r>
    <s v="EXP-5396"/>
    <x v="2"/>
    <s v="Office Supplies"/>
    <s v="Office Supplies expense - Sales"/>
    <n v="2794"/>
    <s v="Cheque"/>
    <s v="Yes"/>
    <n v="4173"/>
    <n v="1379"/>
    <s v="QuickTravel"/>
    <s v="INV-17355"/>
    <s v="2026"/>
  </r>
  <r>
    <s v="EXP-5397"/>
    <x v="3"/>
    <s v="Utilities"/>
    <s v="Utilities expense - HR"/>
    <n v="5522"/>
    <s v="Cash"/>
    <s v="Yes"/>
    <n v="7007"/>
    <n v="1485"/>
    <s v="Strategy Consultants"/>
    <s v="INV-27600"/>
    <s v="2026"/>
  </r>
  <r>
    <s v="EXP-5398"/>
    <x v="3"/>
    <s v="Software"/>
    <s v="Software expense - HR"/>
    <n v="23269"/>
    <s v="Cheque"/>
    <s v="Yes"/>
    <n v="34638"/>
    <n v="11369"/>
    <s v="CloudSoft"/>
    <s v="INV-87307"/>
    <s v="2026"/>
  </r>
  <r>
    <s v="EXP-5399"/>
    <x v="3"/>
    <s v="Training"/>
    <s v="Training expense - HR"/>
    <n v="21811"/>
    <s v="Cheque"/>
    <s v="Yes"/>
    <n v="23992"/>
    <n v="2181"/>
    <s v="PowerGrid Co"/>
    <s v="INV-85069"/>
    <s v="2026"/>
  </r>
  <r>
    <s v="EXP-5400"/>
    <x v="3"/>
    <s v="Training"/>
    <s v="Training expense - HR"/>
    <n v="21241"/>
    <s v="Credit Card"/>
    <s v="Yes"/>
    <n v="26881"/>
    <n v="5640"/>
    <s v="QuickTravel"/>
    <s v="INV-51151"/>
    <s v="2026"/>
  </r>
  <r>
    <s v="EXP-5401"/>
    <x v="3"/>
    <s v="Utilities"/>
    <s v="Utilities expense - HR"/>
    <n v="13659"/>
    <s v="Bank Transfer"/>
    <s v="Yes"/>
    <n v="16704"/>
    <n v="3045"/>
    <s v="Strategy Consultants"/>
    <s v="INV-39842"/>
    <s v="2026"/>
  </r>
  <r>
    <s v="EXP-5402"/>
    <x v="3"/>
    <s v="Consulting"/>
    <s v="Consulting expense - HR"/>
    <n v="104949"/>
    <s v="Cash"/>
    <s v="Yes"/>
    <n v="122424"/>
    <n v="17475"/>
    <s v="AdPro Media"/>
    <s v="INV-13032"/>
    <s v="2026"/>
  </r>
  <r>
    <s v="EXP-5403"/>
    <x v="3"/>
    <s v="Marketing"/>
    <s v="Marketing expense - HR"/>
    <n v="41245"/>
    <s v="Cheque"/>
    <s v="Yes"/>
    <n v="54490"/>
    <n v="13245"/>
    <s v="TechMart India"/>
    <s v="INV-79258"/>
    <s v="2026"/>
  </r>
  <r>
    <s v="EXP-5404"/>
    <x v="3"/>
    <s v="Travel"/>
    <s v="Travel expense - HR"/>
    <n v="72143"/>
    <s v="Cheque"/>
    <s v="Yes"/>
    <n v="85615"/>
    <n v="13472"/>
    <s v="GlobalTravel"/>
    <s v="INV-52869"/>
    <s v="2026"/>
  </r>
  <r>
    <s v="EXP-5405"/>
    <x v="4"/>
    <s v="Consulting"/>
    <s v="Consulting expense - Finance"/>
    <n v="84094"/>
    <s v="Credit Card"/>
    <s v="Yes"/>
    <n v="108263"/>
    <n v="24169"/>
    <s v="AdPro Media"/>
    <s v="INV-22077"/>
    <s v="2026"/>
  </r>
  <r>
    <s v="EXP-5406"/>
    <x v="4"/>
    <s v="Software"/>
    <s v="Software expense - Finance"/>
    <n v="36849"/>
    <s v="Credit Card"/>
    <s v="No"/>
    <n v="39764"/>
    <n v="2915"/>
    <s v="Strategy Consultants"/>
    <s v="INV-89958"/>
    <s v="2026"/>
  </r>
  <r>
    <s v="EXP-5407"/>
    <x v="4"/>
    <s v="Office Supplies"/>
    <s v="Office Supplies expense - Finance"/>
    <n v="6659"/>
    <s v="Cheque"/>
    <s v="Yes"/>
    <n v="6902"/>
    <n v="243"/>
    <s v="Strategy Consultants"/>
    <s v="INV-69151"/>
    <s v="2026"/>
  </r>
  <r>
    <s v="EXP-5408"/>
    <x v="4"/>
    <s v="Marketing"/>
    <s v="Marketing expense - Finance"/>
    <n v="96620"/>
    <s v="Cash"/>
    <s v="Yes"/>
    <n v="100148"/>
    <n v="3528"/>
    <s v="GlobalTravel"/>
    <s v="INV-66675"/>
    <s v="2026"/>
  </r>
  <r>
    <s v="EXP-5409"/>
    <x v="4"/>
    <s v="Travel"/>
    <s v="Travel expense - Finance"/>
    <n v="57620"/>
    <s v="Cheque"/>
    <s v="Yes"/>
    <n v="74178"/>
    <n v="16558"/>
    <s v="TechMart India"/>
    <s v="INV-39521"/>
    <s v="2026"/>
  </r>
  <r>
    <s v="EXP-5410"/>
    <x v="4"/>
    <s v="Utilities"/>
    <s v="Utilities expense - Finance"/>
    <n v="7998"/>
    <s v="Bank Transfer"/>
    <s v="No"/>
    <n v="8600"/>
    <n v="602"/>
    <s v="PowerGrid Co"/>
    <s v="INV-79778"/>
    <s v="2026"/>
  </r>
  <r>
    <s v="EXP-5411"/>
    <x v="4"/>
    <s v="Consulting"/>
    <s v="Consulting expense - Finance"/>
    <n v="181340"/>
    <s v="Cash"/>
    <s v="No"/>
    <n v="241672"/>
    <n v="60332"/>
    <s v="CloudSoft"/>
    <s v="INV-34752"/>
    <s v="2026"/>
  </r>
  <r>
    <s v="EXP-5412"/>
    <x v="5"/>
    <s v="Office Supplies"/>
    <s v="Office Supplies expense - Operations"/>
    <n v="3027"/>
    <s v="Credit Card"/>
    <s v="Yes"/>
    <n v="3302"/>
    <n v="275"/>
    <s v="GlobalTravel"/>
    <s v="INV-55681"/>
    <s v="2026"/>
  </r>
  <r>
    <s v="EXP-5413"/>
    <x v="5"/>
    <s v="Software"/>
    <s v="Software expense - Operations"/>
    <n v="23460"/>
    <s v="Bank Transfer"/>
    <s v="Yes"/>
    <n v="33672"/>
    <n v="10212"/>
    <s v="SkillUp Academy"/>
    <s v="INV-31402"/>
    <s v="2026"/>
  </r>
  <r>
    <s v="EXP-5414"/>
    <x v="5"/>
    <s v="Equipment"/>
    <s v="Equipment expense - Operations"/>
    <n v="40530"/>
    <s v="Cash"/>
    <s v="Yes"/>
    <n v="45251"/>
    <n v="4721"/>
    <s v="CloudSoft"/>
    <s v="INV-67624"/>
    <s v="2026"/>
  </r>
  <r>
    <s v="EXP-5415"/>
    <x v="5"/>
    <s v="Software"/>
    <s v="Software expense - Operations"/>
    <n v="26583"/>
    <s v="Bank Transfer"/>
    <s v="Yes"/>
    <n v="26921"/>
    <n v="338"/>
    <s v="TechMart India"/>
    <s v="INV-68564"/>
    <s v="202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
  <r>
    <x v="0"/>
    <x v="0"/>
    <x v="0"/>
    <x v="0"/>
    <n v="7099"/>
    <x v="0"/>
    <x v="0"/>
    <n v="8386"/>
    <n v="1287"/>
    <x v="0"/>
    <x v="0"/>
    <x v="0"/>
  </r>
  <r>
    <x v="1"/>
    <x v="0"/>
    <x v="1"/>
    <x v="1"/>
    <n v="37909"/>
    <x v="1"/>
    <x v="0"/>
    <n v="39147"/>
    <n v="1238"/>
    <x v="0"/>
    <x v="1"/>
    <x v="0"/>
  </r>
  <r>
    <x v="2"/>
    <x v="0"/>
    <x v="2"/>
    <x v="2"/>
    <n v="5729"/>
    <x v="0"/>
    <x v="0"/>
    <n v="8391"/>
    <n v="2662"/>
    <x v="1"/>
    <x v="2"/>
    <x v="0"/>
  </r>
  <r>
    <x v="3"/>
    <x v="1"/>
    <x v="3"/>
    <x v="3"/>
    <n v="21974"/>
    <x v="0"/>
    <x v="0"/>
    <n v="22502"/>
    <n v="528"/>
    <x v="2"/>
    <x v="3"/>
    <x v="0"/>
  </r>
  <r>
    <x v="4"/>
    <x v="1"/>
    <x v="4"/>
    <x v="4"/>
    <n v="70564"/>
    <x v="2"/>
    <x v="0"/>
    <n v="77440"/>
    <n v="6876"/>
    <x v="3"/>
    <x v="4"/>
    <x v="0"/>
  </r>
  <r>
    <x v="5"/>
    <x v="1"/>
    <x v="0"/>
    <x v="5"/>
    <n v="23713"/>
    <x v="1"/>
    <x v="1"/>
    <n v="28542"/>
    <n v="4829"/>
    <x v="3"/>
    <x v="5"/>
    <x v="0"/>
  </r>
  <r>
    <x v="6"/>
    <x v="2"/>
    <x v="4"/>
    <x v="6"/>
    <n v="67515"/>
    <x v="1"/>
    <x v="0"/>
    <n v="87309"/>
    <n v="19794"/>
    <x v="3"/>
    <x v="6"/>
    <x v="0"/>
  </r>
  <r>
    <x v="7"/>
    <x v="2"/>
    <x v="3"/>
    <x v="7"/>
    <n v="30644"/>
    <x v="3"/>
    <x v="0"/>
    <n v="44207"/>
    <n v="13563"/>
    <x v="3"/>
    <x v="7"/>
    <x v="0"/>
  </r>
  <r>
    <x v="8"/>
    <x v="2"/>
    <x v="5"/>
    <x v="8"/>
    <n v="8331"/>
    <x v="0"/>
    <x v="0"/>
    <n v="11602"/>
    <n v="3271"/>
    <x v="1"/>
    <x v="8"/>
    <x v="0"/>
  </r>
  <r>
    <x v="9"/>
    <x v="2"/>
    <x v="6"/>
    <x v="9"/>
    <n v="55807"/>
    <x v="1"/>
    <x v="0"/>
    <n v="62479"/>
    <n v="6672"/>
    <x v="1"/>
    <x v="9"/>
    <x v="0"/>
  </r>
  <r>
    <x v="10"/>
    <x v="2"/>
    <x v="3"/>
    <x v="7"/>
    <n v="35534"/>
    <x v="0"/>
    <x v="1"/>
    <n v="49832"/>
    <n v="14298"/>
    <x v="4"/>
    <x v="10"/>
    <x v="0"/>
  </r>
  <r>
    <x v="11"/>
    <x v="2"/>
    <x v="0"/>
    <x v="10"/>
    <n v="31806"/>
    <x v="3"/>
    <x v="0"/>
    <n v="36795"/>
    <n v="4989"/>
    <x v="5"/>
    <x v="11"/>
    <x v="0"/>
  </r>
  <r>
    <x v="12"/>
    <x v="2"/>
    <x v="5"/>
    <x v="8"/>
    <n v="6789"/>
    <x v="2"/>
    <x v="0"/>
    <n v="7092"/>
    <n v="303"/>
    <x v="6"/>
    <x v="12"/>
    <x v="0"/>
  </r>
  <r>
    <x v="13"/>
    <x v="3"/>
    <x v="1"/>
    <x v="11"/>
    <n v="42497"/>
    <x v="1"/>
    <x v="0"/>
    <n v="63144"/>
    <n v="20647"/>
    <x v="5"/>
    <x v="13"/>
    <x v="0"/>
  </r>
  <r>
    <x v="14"/>
    <x v="3"/>
    <x v="4"/>
    <x v="12"/>
    <n v="117328"/>
    <x v="3"/>
    <x v="0"/>
    <n v="153681"/>
    <n v="36353"/>
    <x v="2"/>
    <x v="14"/>
    <x v="0"/>
  </r>
  <r>
    <x v="15"/>
    <x v="3"/>
    <x v="5"/>
    <x v="13"/>
    <n v="7122"/>
    <x v="2"/>
    <x v="0"/>
    <n v="7419"/>
    <n v="297"/>
    <x v="7"/>
    <x v="15"/>
    <x v="0"/>
  </r>
  <r>
    <x v="16"/>
    <x v="3"/>
    <x v="6"/>
    <x v="14"/>
    <n v="37088"/>
    <x v="1"/>
    <x v="0"/>
    <n v="50064"/>
    <n v="12976"/>
    <x v="4"/>
    <x v="16"/>
    <x v="0"/>
  </r>
  <r>
    <x v="17"/>
    <x v="3"/>
    <x v="4"/>
    <x v="12"/>
    <n v="25736"/>
    <x v="1"/>
    <x v="0"/>
    <n v="33072"/>
    <n v="7336"/>
    <x v="8"/>
    <x v="17"/>
    <x v="0"/>
  </r>
  <r>
    <x v="18"/>
    <x v="3"/>
    <x v="0"/>
    <x v="15"/>
    <n v="24867"/>
    <x v="2"/>
    <x v="0"/>
    <n v="30659"/>
    <n v="5792"/>
    <x v="4"/>
    <x v="18"/>
    <x v="0"/>
  </r>
  <r>
    <x v="19"/>
    <x v="4"/>
    <x v="0"/>
    <x v="16"/>
    <n v="28014"/>
    <x v="2"/>
    <x v="0"/>
    <n v="38774"/>
    <n v="10760"/>
    <x v="4"/>
    <x v="19"/>
    <x v="0"/>
  </r>
  <r>
    <x v="20"/>
    <x v="4"/>
    <x v="5"/>
    <x v="17"/>
    <n v="10901"/>
    <x v="2"/>
    <x v="0"/>
    <n v="13552"/>
    <n v="2651"/>
    <x v="5"/>
    <x v="20"/>
    <x v="0"/>
  </r>
  <r>
    <x v="21"/>
    <x v="4"/>
    <x v="6"/>
    <x v="18"/>
    <n v="76444"/>
    <x v="3"/>
    <x v="0"/>
    <n v="82397"/>
    <n v="5953"/>
    <x v="2"/>
    <x v="21"/>
    <x v="0"/>
  </r>
  <r>
    <x v="22"/>
    <x v="4"/>
    <x v="6"/>
    <x v="18"/>
    <n v="54844"/>
    <x v="0"/>
    <x v="0"/>
    <n v="56555"/>
    <n v="1711"/>
    <x v="6"/>
    <x v="22"/>
    <x v="0"/>
  </r>
  <r>
    <x v="23"/>
    <x v="4"/>
    <x v="6"/>
    <x v="18"/>
    <n v="32720"/>
    <x v="2"/>
    <x v="0"/>
    <n v="46921"/>
    <n v="14201"/>
    <x v="5"/>
    <x v="23"/>
    <x v="0"/>
  </r>
  <r>
    <x v="24"/>
    <x v="4"/>
    <x v="1"/>
    <x v="19"/>
    <n v="31912"/>
    <x v="2"/>
    <x v="0"/>
    <n v="34174"/>
    <n v="2262"/>
    <x v="5"/>
    <x v="24"/>
    <x v="0"/>
  </r>
  <r>
    <x v="25"/>
    <x v="4"/>
    <x v="4"/>
    <x v="20"/>
    <n v="73783"/>
    <x v="3"/>
    <x v="0"/>
    <n v="81682"/>
    <n v="7899"/>
    <x v="4"/>
    <x v="25"/>
    <x v="0"/>
  </r>
  <r>
    <x v="26"/>
    <x v="4"/>
    <x v="5"/>
    <x v="17"/>
    <n v="13340"/>
    <x v="0"/>
    <x v="0"/>
    <n v="15320"/>
    <n v="1980"/>
    <x v="6"/>
    <x v="26"/>
    <x v="0"/>
  </r>
  <r>
    <x v="27"/>
    <x v="5"/>
    <x v="1"/>
    <x v="21"/>
    <n v="124500"/>
    <x v="2"/>
    <x v="0"/>
    <n v="146580"/>
    <n v="22080"/>
    <x v="9"/>
    <x v="27"/>
    <x v="0"/>
  </r>
  <r>
    <x v="28"/>
    <x v="5"/>
    <x v="2"/>
    <x v="22"/>
    <n v="1137"/>
    <x v="3"/>
    <x v="0"/>
    <n v="1548"/>
    <n v="411"/>
    <x v="2"/>
    <x v="28"/>
    <x v="0"/>
  </r>
  <r>
    <x v="29"/>
    <x v="5"/>
    <x v="1"/>
    <x v="21"/>
    <n v="130234"/>
    <x v="0"/>
    <x v="0"/>
    <n v="191042"/>
    <n v="60808"/>
    <x v="8"/>
    <x v="29"/>
    <x v="0"/>
  </r>
  <r>
    <x v="30"/>
    <x v="5"/>
    <x v="6"/>
    <x v="23"/>
    <n v="64055"/>
    <x v="3"/>
    <x v="0"/>
    <n v="94267"/>
    <n v="30212"/>
    <x v="1"/>
    <x v="30"/>
    <x v="0"/>
  </r>
  <r>
    <x v="31"/>
    <x v="5"/>
    <x v="6"/>
    <x v="23"/>
    <n v="33655"/>
    <x v="2"/>
    <x v="1"/>
    <n v="46203"/>
    <n v="12548"/>
    <x v="3"/>
    <x v="31"/>
    <x v="0"/>
  </r>
  <r>
    <x v="32"/>
    <x v="5"/>
    <x v="4"/>
    <x v="24"/>
    <n v="33329"/>
    <x v="1"/>
    <x v="0"/>
    <n v="39130"/>
    <n v="5801"/>
    <x v="2"/>
    <x v="32"/>
    <x v="0"/>
  </r>
  <r>
    <x v="33"/>
    <x v="5"/>
    <x v="7"/>
    <x v="25"/>
    <n v="13058"/>
    <x v="1"/>
    <x v="0"/>
    <n v="16336"/>
    <n v="3278"/>
    <x v="6"/>
    <x v="33"/>
    <x v="0"/>
  </r>
  <r>
    <x v="34"/>
    <x v="0"/>
    <x v="5"/>
    <x v="26"/>
    <n v="6770"/>
    <x v="0"/>
    <x v="0"/>
    <n v="9573"/>
    <n v="2803"/>
    <x v="3"/>
    <x v="34"/>
    <x v="0"/>
  </r>
  <r>
    <x v="35"/>
    <x v="0"/>
    <x v="4"/>
    <x v="27"/>
    <n v="53905"/>
    <x v="3"/>
    <x v="1"/>
    <n v="58673"/>
    <n v="4768"/>
    <x v="8"/>
    <x v="35"/>
    <x v="0"/>
  </r>
  <r>
    <x v="36"/>
    <x v="0"/>
    <x v="7"/>
    <x v="28"/>
    <n v="24613"/>
    <x v="0"/>
    <x v="1"/>
    <n v="33087"/>
    <n v="8474"/>
    <x v="4"/>
    <x v="36"/>
    <x v="0"/>
  </r>
  <r>
    <x v="37"/>
    <x v="0"/>
    <x v="0"/>
    <x v="0"/>
    <n v="7874"/>
    <x v="2"/>
    <x v="0"/>
    <n v="10432"/>
    <n v="2558"/>
    <x v="6"/>
    <x v="37"/>
    <x v="0"/>
  </r>
  <r>
    <x v="38"/>
    <x v="0"/>
    <x v="0"/>
    <x v="0"/>
    <n v="43518"/>
    <x v="1"/>
    <x v="0"/>
    <n v="53181"/>
    <n v="9663"/>
    <x v="8"/>
    <x v="38"/>
    <x v="0"/>
  </r>
  <r>
    <x v="39"/>
    <x v="0"/>
    <x v="2"/>
    <x v="2"/>
    <n v="6864"/>
    <x v="1"/>
    <x v="0"/>
    <n v="8424"/>
    <n v="1560"/>
    <x v="6"/>
    <x v="39"/>
    <x v="0"/>
  </r>
  <r>
    <x v="40"/>
    <x v="1"/>
    <x v="3"/>
    <x v="3"/>
    <n v="118248"/>
    <x v="2"/>
    <x v="0"/>
    <n v="171932"/>
    <n v="53684"/>
    <x v="2"/>
    <x v="40"/>
    <x v="0"/>
  </r>
  <r>
    <x v="41"/>
    <x v="1"/>
    <x v="7"/>
    <x v="29"/>
    <n v="11769"/>
    <x v="0"/>
    <x v="0"/>
    <n v="16945"/>
    <n v="5176"/>
    <x v="0"/>
    <x v="41"/>
    <x v="0"/>
  </r>
  <r>
    <x v="42"/>
    <x v="1"/>
    <x v="4"/>
    <x v="4"/>
    <n v="9282"/>
    <x v="0"/>
    <x v="1"/>
    <n v="9354"/>
    <n v="72"/>
    <x v="1"/>
    <x v="42"/>
    <x v="0"/>
  </r>
  <r>
    <x v="43"/>
    <x v="1"/>
    <x v="5"/>
    <x v="30"/>
    <n v="3792"/>
    <x v="3"/>
    <x v="1"/>
    <n v="5611"/>
    <n v="1819"/>
    <x v="8"/>
    <x v="43"/>
    <x v="0"/>
  </r>
  <r>
    <x v="44"/>
    <x v="1"/>
    <x v="4"/>
    <x v="4"/>
    <n v="113599"/>
    <x v="2"/>
    <x v="0"/>
    <n v="116529"/>
    <n v="2930"/>
    <x v="8"/>
    <x v="44"/>
    <x v="0"/>
  </r>
  <r>
    <x v="45"/>
    <x v="2"/>
    <x v="5"/>
    <x v="8"/>
    <n v="9475"/>
    <x v="1"/>
    <x v="0"/>
    <n v="10226"/>
    <n v="751"/>
    <x v="9"/>
    <x v="45"/>
    <x v="0"/>
  </r>
  <r>
    <x v="46"/>
    <x v="2"/>
    <x v="4"/>
    <x v="6"/>
    <n v="115497"/>
    <x v="3"/>
    <x v="0"/>
    <n v="159511"/>
    <n v="44014"/>
    <x v="0"/>
    <x v="46"/>
    <x v="0"/>
  </r>
  <r>
    <x v="47"/>
    <x v="2"/>
    <x v="0"/>
    <x v="10"/>
    <n v="3680"/>
    <x v="3"/>
    <x v="0"/>
    <n v="4485"/>
    <n v="805"/>
    <x v="1"/>
    <x v="47"/>
    <x v="0"/>
  </r>
  <r>
    <x v="48"/>
    <x v="2"/>
    <x v="0"/>
    <x v="10"/>
    <n v="39473"/>
    <x v="3"/>
    <x v="0"/>
    <n v="47020"/>
    <n v="7547"/>
    <x v="2"/>
    <x v="48"/>
    <x v="0"/>
  </r>
  <r>
    <x v="49"/>
    <x v="2"/>
    <x v="2"/>
    <x v="31"/>
    <n v="5845"/>
    <x v="3"/>
    <x v="1"/>
    <n v="8469"/>
    <n v="2624"/>
    <x v="0"/>
    <x v="49"/>
    <x v="0"/>
  </r>
  <r>
    <x v="50"/>
    <x v="2"/>
    <x v="7"/>
    <x v="32"/>
    <n v="24602"/>
    <x v="3"/>
    <x v="0"/>
    <n v="25239"/>
    <n v="637"/>
    <x v="1"/>
    <x v="50"/>
    <x v="0"/>
  </r>
  <r>
    <x v="51"/>
    <x v="3"/>
    <x v="3"/>
    <x v="33"/>
    <n v="166210"/>
    <x v="0"/>
    <x v="0"/>
    <n v="176406"/>
    <n v="10196"/>
    <x v="3"/>
    <x v="51"/>
    <x v="0"/>
  </r>
  <r>
    <x v="52"/>
    <x v="3"/>
    <x v="0"/>
    <x v="15"/>
    <n v="34390"/>
    <x v="3"/>
    <x v="0"/>
    <n v="48913"/>
    <n v="14523"/>
    <x v="4"/>
    <x v="52"/>
    <x v="0"/>
  </r>
  <r>
    <x v="53"/>
    <x v="3"/>
    <x v="6"/>
    <x v="14"/>
    <n v="59230"/>
    <x v="1"/>
    <x v="0"/>
    <n v="61409"/>
    <n v="2179"/>
    <x v="8"/>
    <x v="53"/>
    <x v="0"/>
  </r>
  <r>
    <x v="54"/>
    <x v="4"/>
    <x v="3"/>
    <x v="34"/>
    <n v="52232"/>
    <x v="3"/>
    <x v="1"/>
    <n v="56928"/>
    <n v="4696"/>
    <x v="1"/>
    <x v="54"/>
    <x v="0"/>
  </r>
  <r>
    <x v="55"/>
    <x v="4"/>
    <x v="0"/>
    <x v="16"/>
    <n v="24466"/>
    <x v="1"/>
    <x v="0"/>
    <n v="36622"/>
    <n v="12156"/>
    <x v="9"/>
    <x v="55"/>
    <x v="0"/>
  </r>
  <r>
    <x v="56"/>
    <x v="4"/>
    <x v="0"/>
    <x v="16"/>
    <n v="14638"/>
    <x v="1"/>
    <x v="1"/>
    <n v="19074"/>
    <n v="4436"/>
    <x v="9"/>
    <x v="56"/>
    <x v="0"/>
  </r>
  <r>
    <x v="57"/>
    <x v="4"/>
    <x v="2"/>
    <x v="35"/>
    <n v="7601"/>
    <x v="1"/>
    <x v="0"/>
    <n v="8988"/>
    <n v="1387"/>
    <x v="3"/>
    <x v="57"/>
    <x v="0"/>
  </r>
  <r>
    <x v="58"/>
    <x v="4"/>
    <x v="0"/>
    <x v="16"/>
    <n v="49693"/>
    <x v="0"/>
    <x v="0"/>
    <n v="66877"/>
    <n v="17184"/>
    <x v="6"/>
    <x v="58"/>
    <x v="0"/>
  </r>
  <r>
    <x v="59"/>
    <x v="5"/>
    <x v="5"/>
    <x v="36"/>
    <n v="12601"/>
    <x v="2"/>
    <x v="0"/>
    <n v="16076"/>
    <n v="3475"/>
    <x v="8"/>
    <x v="59"/>
    <x v="0"/>
  </r>
  <r>
    <x v="60"/>
    <x v="5"/>
    <x v="4"/>
    <x v="24"/>
    <n v="30304"/>
    <x v="0"/>
    <x v="0"/>
    <n v="34093"/>
    <n v="3789"/>
    <x v="4"/>
    <x v="60"/>
    <x v="0"/>
  </r>
  <r>
    <x v="61"/>
    <x v="5"/>
    <x v="7"/>
    <x v="25"/>
    <n v="8428"/>
    <x v="2"/>
    <x v="0"/>
    <n v="11774"/>
    <n v="3346"/>
    <x v="6"/>
    <x v="61"/>
    <x v="0"/>
  </r>
  <r>
    <x v="62"/>
    <x v="0"/>
    <x v="7"/>
    <x v="28"/>
    <n v="29735"/>
    <x v="2"/>
    <x v="0"/>
    <n v="34474"/>
    <n v="4739"/>
    <x v="0"/>
    <x v="62"/>
    <x v="0"/>
  </r>
  <r>
    <x v="63"/>
    <x v="0"/>
    <x v="5"/>
    <x v="26"/>
    <n v="7126"/>
    <x v="1"/>
    <x v="0"/>
    <n v="10325"/>
    <n v="3199"/>
    <x v="3"/>
    <x v="63"/>
    <x v="0"/>
  </r>
  <r>
    <x v="64"/>
    <x v="0"/>
    <x v="7"/>
    <x v="28"/>
    <n v="22230"/>
    <x v="0"/>
    <x v="0"/>
    <n v="26785"/>
    <n v="4555"/>
    <x v="7"/>
    <x v="64"/>
    <x v="0"/>
  </r>
  <r>
    <x v="65"/>
    <x v="0"/>
    <x v="1"/>
    <x v="1"/>
    <n v="94588"/>
    <x v="0"/>
    <x v="0"/>
    <n v="114895"/>
    <n v="20307"/>
    <x v="4"/>
    <x v="65"/>
    <x v="0"/>
  </r>
  <r>
    <x v="66"/>
    <x v="0"/>
    <x v="5"/>
    <x v="26"/>
    <n v="7094"/>
    <x v="1"/>
    <x v="0"/>
    <n v="7608"/>
    <n v="514"/>
    <x v="2"/>
    <x v="66"/>
    <x v="0"/>
  </r>
  <r>
    <x v="67"/>
    <x v="0"/>
    <x v="5"/>
    <x v="26"/>
    <n v="4502"/>
    <x v="0"/>
    <x v="0"/>
    <n v="5550"/>
    <n v="1048"/>
    <x v="9"/>
    <x v="67"/>
    <x v="0"/>
  </r>
  <r>
    <x v="68"/>
    <x v="0"/>
    <x v="4"/>
    <x v="27"/>
    <n v="42173"/>
    <x v="3"/>
    <x v="0"/>
    <n v="54863"/>
    <n v="12690"/>
    <x v="9"/>
    <x v="68"/>
    <x v="0"/>
  </r>
  <r>
    <x v="69"/>
    <x v="1"/>
    <x v="0"/>
    <x v="5"/>
    <n v="39614"/>
    <x v="2"/>
    <x v="0"/>
    <n v="57295"/>
    <n v="17681"/>
    <x v="2"/>
    <x v="69"/>
    <x v="0"/>
  </r>
  <r>
    <x v="70"/>
    <x v="1"/>
    <x v="2"/>
    <x v="37"/>
    <n v="906"/>
    <x v="1"/>
    <x v="0"/>
    <n v="1270"/>
    <n v="364"/>
    <x v="8"/>
    <x v="70"/>
    <x v="0"/>
  </r>
  <r>
    <x v="71"/>
    <x v="1"/>
    <x v="0"/>
    <x v="5"/>
    <n v="31673"/>
    <x v="2"/>
    <x v="0"/>
    <n v="34383"/>
    <n v="2710"/>
    <x v="1"/>
    <x v="71"/>
    <x v="0"/>
  </r>
  <r>
    <x v="72"/>
    <x v="1"/>
    <x v="7"/>
    <x v="29"/>
    <n v="3584"/>
    <x v="1"/>
    <x v="0"/>
    <n v="4737"/>
    <n v="1153"/>
    <x v="5"/>
    <x v="72"/>
    <x v="0"/>
  </r>
  <r>
    <x v="73"/>
    <x v="1"/>
    <x v="4"/>
    <x v="4"/>
    <n v="9850"/>
    <x v="1"/>
    <x v="0"/>
    <n v="14262"/>
    <n v="4412"/>
    <x v="7"/>
    <x v="73"/>
    <x v="0"/>
  </r>
  <r>
    <x v="74"/>
    <x v="1"/>
    <x v="3"/>
    <x v="3"/>
    <n v="34935"/>
    <x v="0"/>
    <x v="0"/>
    <n v="49430"/>
    <n v="14495"/>
    <x v="2"/>
    <x v="74"/>
    <x v="0"/>
  </r>
  <r>
    <x v="75"/>
    <x v="1"/>
    <x v="4"/>
    <x v="4"/>
    <n v="15455"/>
    <x v="2"/>
    <x v="1"/>
    <n v="19755"/>
    <n v="4300"/>
    <x v="7"/>
    <x v="75"/>
    <x v="0"/>
  </r>
  <r>
    <x v="76"/>
    <x v="1"/>
    <x v="7"/>
    <x v="29"/>
    <n v="25821"/>
    <x v="1"/>
    <x v="0"/>
    <n v="38525"/>
    <n v="12704"/>
    <x v="1"/>
    <x v="76"/>
    <x v="0"/>
  </r>
  <r>
    <x v="77"/>
    <x v="2"/>
    <x v="2"/>
    <x v="31"/>
    <n v="891"/>
    <x v="1"/>
    <x v="0"/>
    <n v="1259"/>
    <n v="368"/>
    <x v="8"/>
    <x v="77"/>
    <x v="0"/>
  </r>
  <r>
    <x v="78"/>
    <x v="2"/>
    <x v="1"/>
    <x v="38"/>
    <n v="33073"/>
    <x v="0"/>
    <x v="1"/>
    <n v="36234"/>
    <n v="3161"/>
    <x v="7"/>
    <x v="78"/>
    <x v="0"/>
  </r>
  <r>
    <x v="79"/>
    <x v="2"/>
    <x v="7"/>
    <x v="32"/>
    <n v="28721"/>
    <x v="0"/>
    <x v="0"/>
    <n v="29340"/>
    <n v="619"/>
    <x v="5"/>
    <x v="79"/>
    <x v="0"/>
  </r>
  <r>
    <x v="80"/>
    <x v="3"/>
    <x v="4"/>
    <x v="12"/>
    <n v="40377"/>
    <x v="2"/>
    <x v="0"/>
    <n v="54482"/>
    <n v="14105"/>
    <x v="3"/>
    <x v="80"/>
    <x v="0"/>
  </r>
  <r>
    <x v="81"/>
    <x v="3"/>
    <x v="1"/>
    <x v="11"/>
    <n v="118342"/>
    <x v="1"/>
    <x v="1"/>
    <n v="156028"/>
    <n v="37686"/>
    <x v="9"/>
    <x v="81"/>
    <x v="0"/>
  </r>
  <r>
    <x v="82"/>
    <x v="3"/>
    <x v="3"/>
    <x v="33"/>
    <n v="183347"/>
    <x v="0"/>
    <x v="0"/>
    <n v="228277"/>
    <n v="44930"/>
    <x v="0"/>
    <x v="82"/>
    <x v="0"/>
  </r>
  <r>
    <x v="83"/>
    <x v="3"/>
    <x v="7"/>
    <x v="39"/>
    <n v="28106"/>
    <x v="0"/>
    <x v="1"/>
    <n v="32269"/>
    <n v="4163"/>
    <x v="0"/>
    <x v="83"/>
    <x v="0"/>
  </r>
  <r>
    <x v="84"/>
    <x v="3"/>
    <x v="2"/>
    <x v="40"/>
    <n v="6193"/>
    <x v="1"/>
    <x v="0"/>
    <n v="6435"/>
    <n v="242"/>
    <x v="7"/>
    <x v="84"/>
    <x v="0"/>
  </r>
  <r>
    <x v="85"/>
    <x v="3"/>
    <x v="2"/>
    <x v="40"/>
    <n v="4335"/>
    <x v="2"/>
    <x v="0"/>
    <n v="6109"/>
    <n v="1774"/>
    <x v="2"/>
    <x v="85"/>
    <x v="0"/>
  </r>
  <r>
    <x v="86"/>
    <x v="3"/>
    <x v="5"/>
    <x v="13"/>
    <n v="13459"/>
    <x v="2"/>
    <x v="0"/>
    <n v="19814"/>
    <n v="6355"/>
    <x v="9"/>
    <x v="86"/>
    <x v="0"/>
  </r>
  <r>
    <x v="87"/>
    <x v="3"/>
    <x v="1"/>
    <x v="11"/>
    <n v="67353"/>
    <x v="2"/>
    <x v="1"/>
    <n v="98224"/>
    <n v="30871"/>
    <x v="9"/>
    <x v="87"/>
    <x v="0"/>
  </r>
  <r>
    <x v="88"/>
    <x v="4"/>
    <x v="2"/>
    <x v="35"/>
    <n v="1062"/>
    <x v="0"/>
    <x v="1"/>
    <n v="1210"/>
    <n v="148"/>
    <x v="4"/>
    <x v="88"/>
    <x v="0"/>
  </r>
  <r>
    <x v="89"/>
    <x v="4"/>
    <x v="3"/>
    <x v="34"/>
    <n v="38094"/>
    <x v="1"/>
    <x v="0"/>
    <n v="52285"/>
    <n v="14191"/>
    <x v="3"/>
    <x v="89"/>
    <x v="0"/>
  </r>
  <r>
    <x v="90"/>
    <x v="4"/>
    <x v="6"/>
    <x v="18"/>
    <n v="67421"/>
    <x v="0"/>
    <x v="0"/>
    <n v="89733"/>
    <n v="22312"/>
    <x v="4"/>
    <x v="90"/>
    <x v="0"/>
  </r>
  <r>
    <x v="91"/>
    <x v="4"/>
    <x v="0"/>
    <x v="16"/>
    <n v="25227"/>
    <x v="2"/>
    <x v="1"/>
    <n v="30669"/>
    <n v="5442"/>
    <x v="8"/>
    <x v="91"/>
    <x v="0"/>
  </r>
  <r>
    <x v="92"/>
    <x v="4"/>
    <x v="5"/>
    <x v="17"/>
    <n v="1870"/>
    <x v="1"/>
    <x v="0"/>
    <n v="2283"/>
    <n v="413"/>
    <x v="8"/>
    <x v="92"/>
    <x v="0"/>
  </r>
  <r>
    <x v="93"/>
    <x v="4"/>
    <x v="2"/>
    <x v="35"/>
    <n v="2908"/>
    <x v="0"/>
    <x v="1"/>
    <n v="3183"/>
    <n v="275"/>
    <x v="1"/>
    <x v="93"/>
    <x v="0"/>
  </r>
  <r>
    <x v="94"/>
    <x v="5"/>
    <x v="4"/>
    <x v="24"/>
    <n v="19311"/>
    <x v="3"/>
    <x v="0"/>
    <n v="25888"/>
    <n v="6577"/>
    <x v="0"/>
    <x v="94"/>
    <x v="0"/>
  </r>
  <r>
    <x v="95"/>
    <x v="5"/>
    <x v="6"/>
    <x v="23"/>
    <n v="9677"/>
    <x v="1"/>
    <x v="1"/>
    <n v="12460"/>
    <n v="2783"/>
    <x v="4"/>
    <x v="95"/>
    <x v="0"/>
  </r>
  <r>
    <x v="96"/>
    <x v="5"/>
    <x v="2"/>
    <x v="22"/>
    <n v="7730"/>
    <x v="2"/>
    <x v="0"/>
    <n v="10127"/>
    <n v="2397"/>
    <x v="8"/>
    <x v="96"/>
    <x v="0"/>
  </r>
  <r>
    <x v="97"/>
    <x v="5"/>
    <x v="2"/>
    <x v="22"/>
    <n v="6512"/>
    <x v="0"/>
    <x v="0"/>
    <n v="9195"/>
    <n v="2683"/>
    <x v="0"/>
    <x v="97"/>
    <x v="0"/>
  </r>
  <r>
    <x v="98"/>
    <x v="5"/>
    <x v="2"/>
    <x v="22"/>
    <n v="3347"/>
    <x v="0"/>
    <x v="0"/>
    <n v="4413"/>
    <n v="1066"/>
    <x v="4"/>
    <x v="98"/>
    <x v="0"/>
  </r>
  <r>
    <x v="99"/>
    <x v="5"/>
    <x v="3"/>
    <x v="41"/>
    <n v="90038"/>
    <x v="3"/>
    <x v="0"/>
    <n v="128420"/>
    <n v="38382"/>
    <x v="2"/>
    <x v="99"/>
    <x v="0"/>
  </r>
  <r>
    <x v="100"/>
    <x v="5"/>
    <x v="0"/>
    <x v="42"/>
    <n v="12921"/>
    <x v="3"/>
    <x v="0"/>
    <n v="14131"/>
    <n v="1210"/>
    <x v="6"/>
    <x v="100"/>
    <x v="0"/>
  </r>
  <r>
    <x v="101"/>
    <x v="0"/>
    <x v="6"/>
    <x v="43"/>
    <n v="28267"/>
    <x v="3"/>
    <x v="0"/>
    <n v="42038"/>
    <n v="13771"/>
    <x v="1"/>
    <x v="101"/>
    <x v="0"/>
  </r>
  <r>
    <x v="102"/>
    <x v="0"/>
    <x v="3"/>
    <x v="44"/>
    <n v="162871"/>
    <x v="3"/>
    <x v="0"/>
    <n v="162953"/>
    <n v="82"/>
    <x v="4"/>
    <x v="102"/>
    <x v="0"/>
  </r>
  <r>
    <x v="103"/>
    <x v="0"/>
    <x v="6"/>
    <x v="43"/>
    <n v="79352"/>
    <x v="3"/>
    <x v="1"/>
    <n v="106334"/>
    <n v="26982"/>
    <x v="9"/>
    <x v="103"/>
    <x v="0"/>
  </r>
  <r>
    <x v="104"/>
    <x v="0"/>
    <x v="1"/>
    <x v="1"/>
    <n v="34617"/>
    <x v="0"/>
    <x v="0"/>
    <n v="36348"/>
    <n v="1731"/>
    <x v="6"/>
    <x v="104"/>
    <x v="0"/>
  </r>
  <r>
    <x v="105"/>
    <x v="0"/>
    <x v="7"/>
    <x v="28"/>
    <n v="24738"/>
    <x v="2"/>
    <x v="0"/>
    <n v="30755"/>
    <n v="6017"/>
    <x v="2"/>
    <x v="105"/>
    <x v="0"/>
  </r>
  <r>
    <x v="106"/>
    <x v="1"/>
    <x v="5"/>
    <x v="30"/>
    <n v="9484"/>
    <x v="2"/>
    <x v="0"/>
    <n v="13157"/>
    <n v="3673"/>
    <x v="5"/>
    <x v="106"/>
    <x v="0"/>
  </r>
  <r>
    <x v="107"/>
    <x v="1"/>
    <x v="6"/>
    <x v="45"/>
    <n v="24385"/>
    <x v="3"/>
    <x v="0"/>
    <n v="36317"/>
    <n v="11932"/>
    <x v="2"/>
    <x v="107"/>
    <x v="0"/>
  </r>
  <r>
    <x v="108"/>
    <x v="1"/>
    <x v="6"/>
    <x v="45"/>
    <n v="37029"/>
    <x v="2"/>
    <x v="0"/>
    <n v="47723"/>
    <n v="10694"/>
    <x v="0"/>
    <x v="108"/>
    <x v="0"/>
  </r>
  <r>
    <x v="109"/>
    <x v="1"/>
    <x v="2"/>
    <x v="37"/>
    <n v="3594"/>
    <x v="2"/>
    <x v="1"/>
    <n v="4742"/>
    <n v="1148"/>
    <x v="3"/>
    <x v="109"/>
    <x v="0"/>
  </r>
  <r>
    <x v="110"/>
    <x v="1"/>
    <x v="5"/>
    <x v="30"/>
    <n v="6426"/>
    <x v="0"/>
    <x v="0"/>
    <n v="7682"/>
    <n v="1256"/>
    <x v="0"/>
    <x v="110"/>
    <x v="0"/>
  </r>
  <r>
    <x v="111"/>
    <x v="1"/>
    <x v="5"/>
    <x v="30"/>
    <n v="14667"/>
    <x v="2"/>
    <x v="1"/>
    <n v="19158"/>
    <n v="4491"/>
    <x v="2"/>
    <x v="111"/>
    <x v="0"/>
  </r>
  <r>
    <x v="112"/>
    <x v="1"/>
    <x v="0"/>
    <x v="5"/>
    <n v="2546"/>
    <x v="3"/>
    <x v="0"/>
    <n v="3181"/>
    <n v="635"/>
    <x v="3"/>
    <x v="112"/>
    <x v="0"/>
  </r>
  <r>
    <x v="113"/>
    <x v="1"/>
    <x v="7"/>
    <x v="29"/>
    <n v="23440"/>
    <x v="0"/>
    <x v="0"/>
    <n v="29981"/>
    <n v="6541"/>
    <x v="5"/>
    <x v="113"/>
    <x v="0"/>
  </r>
  <r>
    <x v="114"/>
    <x v="2"/>
    <x v="6"/>
    <x v="9"/>
    <n v="64488"/>
    <x v="1"/>
    <x v="0"/>
    <n v="65808"/>
    <n v="1320"/>
    <x v="6"/>
    <x v="114"/>
    <x v="0"/>
  </r>
  <r>
    <x v="115"/>
    <x v="2"/>
    <x v="6"/>
    <x v="9"/>
    <n v="61403"/>
    <x v="1"/>
    <x v="0"/>
    <n v="72218"/>
    <n v="10815"/>
    <x v="5"/>
    <x v="115"/>
    <x v="0"/>
  </r>
  <r>
    <x v="116"/>
    <x v="2"/>
    <x v="5"/>
    <x v="8"/>
    <n v="5641"/>
    <x v="3"/>
    <x v="0"/>
    <n v="7856"/>
    <n v="2215"/>
    <x v="5"/>
    <x v="116"/>
    <x v="0"/>
  </r>
  <r>
    <x v="117"/>
    <x v="2"/>
    <x v="2"/>
    <x v="31"/>
    <n v="4039"/>
    <x v="0"/>
    <x v="0"/>
    <n v="5221"/>
    <n v="1182"/>
    <x v="7"/>
    <x v="117"/>
    <x v="0"/>
  </r>
  <r>
    <x v="118"/>
    <x v="2"/>
    <x v="5"/>
    <x v="8"/>
    <n v="5075"/>
    <x v="2"/>
    <x v="0"/>
    <n v="7135"/>
    <n v="2060"/>
    <x v="8"/>
    <x v="118"/>
    <x v="0"/>
  </r>
  <r>
    <x v="119"/>
    <x v="3"/>
    <x v="7"/>
    <x v="39"/>
    <n v="22563"/>
    <x v="2"/>
    <x v="0"/>
    <n v="26069"/>
    <n v="3506"/>
    <x v="1"/>
    <x v="119"/>
    <x v="0"/>
  </r>
  <r>
    <x v="120"/>
    <x v="3"/>
    <x v="2"/>
    <x v="40"/>
    <n v="2548"/>
    <x v="3"/>
    <x v="0"/>
    <n v="2721"/>
    <n v="173"/>
    <x v="5"/>
    <x v="120"/>
    <x v="0"/>
  </r>
  <r>
    <x v="121"/>
    <x v="3"/>
    <x v="7"/>
    <x v="39"/>
    <n v="21568"/>
    <x v="3"/>
    <x v="0"/>
    <n v="31566"/>
    <n v="9998"/>
    <x v="8"/>
    <x v="121"/>
    <x v="0"/>
  </r>
  <r>
    <x v="122"/>
    <x v="3"/>
    <x v="1"/>
    <x v="11"/>
    <n v="148037"/>
    <x v="0"/>
    <x v="0"/>
    <n v="180746"/>
    <n v="32709"/>
    <x v="2"/>
    <x v="122"/>
    <x v="0"/>
  </r>
  <r>
    <x v="123"/>
    <x v="3"/>
    <x v="3"/>
    <x v="33"/>
    <n v="120233"/>
    <x v="1"/>
    <x v="1"/>
    <n v="178032"/>
    <n v="57799"/>
    <x v="7"/>
    <x v="123"/>
    <x v="0"/>
  </r>
  <r>
    <x v="124"/>
    <x v="4"/>
    <x v="1"/>
    <x v="19"/>
    <n v="89269"/>
    <x v="0"/>
    <x v="0"/>
    <n v="124380"/>
    <n v="35111"/>
    <x v="1"/>
    <x v="124"/>
    <x v="0"/>
  </r>
  <r>
    <x v="125"/>
    <x v="4"/>
    <x v="7"/>
    <x v="46"/>
    <n v="4754"/>
    <x v="3"/>
    <x v="0"/>
    <n v="6549"/>
    <n v="1795"/>
    <x v="7"/>
    <x v="125"/>
    <x v="0"/>
  </r>
  <r>
    <x v="126"/>
    <x v="4"/>
    <x v="3"/>
    <x v="34"/>
    <n v="24246"/>
    <x v="1"/>
    <x v="0"/>
    <n v="25272"/>
    <n v="1026"/>
    <x v="1"/>
    <x v="126"/>
    <x v="0"/>
  </r>
  <r>
    <x v="127"/>
    <x v="5"/>
    <x v="3"/>
    <x v="41"/>
    <n v="191034"/>
    <x v="1"/>
    <x v="1"/>
    <n v="222680"/>
    <n v="31646"/>
    <x v="9"/>
    <x v="127"/>
    <x v="0"/>
  </r>
  <r>
    <x v="128"/>
    <x v="5"/>
    <x v="2"/>
    <x v="22"/>
    <n v="4729"/>
    <x v="2"/>
    <x v="0"/>
    <n v="5070"/>
    <n v="341"/>
    <x v="0"/>
    <x v="128"/>
    <x v="0"/>
  </r>
  <r>
    <x v="129"/>
    <x v="5"/>
    <x v="1"/>
    <x v="21"/>
    <n v="88877"/>
    <x v="1"/>
    <x v="0"/>
    <n v="116795"/>
    <n v="27918"/>
    <x v="1"/>
    <x v="129"/>
    <x v="0"/>
  </r>
  <r>
    <x v="130"/>
    <x v="5"/>
    <x v="0"/>
    <x v="42"/>
    <n v="6400"/>
    <x v="1"/>
    <x v="1"/>
    <n v="6400"/>
    <n v="0"/>
    <x v="4"/>
    <x v="130"/>
    <x v="0"/>
  </r>
  <r>
    <x v="131"/>
    <x v="5"/>
    <x v="2"/>
    <x v="22"/>
    <n v="1348"/>
    <x v="2"/>
    <x v="0"/>
    <n v="1667"/>
    <n v="319"/>
    <x v="7"/>
    <x v="131"/>
    <x v="0"/>
  </r>
  <r>
    <x v="132"/>
    <x v="0"/>
    <x v="4"/>
    <x v="27"/>
    <n v="68402"/>
    <x v="3"/>
    <x v="1"/>
    <n v="102011"/>
    <n v="33609"/>
    <x v="5"/>
    <x v="132"/>
    <x v="0"/>
  </r>
  <r>
    <x v="133"/>
    <x v="0"/>
    <x v="3"/>
    <x v="44"/>
    <n v="182532"/>
    <x v="3"/>
    <x v="0"/>
    <n v="238858"/>
    <n v="56326"/>
    <x v="3"/>
    <x v="133"/>
    <x v="0"/>
  </r>
  <r>
    <x v="134"/>
    <x v="0"/>
    <x v="2"/>
    <x v="2"/>
    <n v="1898"/>
    <x v="3"/>
    <x v="0"/>
    <n v="2383"/>
    <n v="485"/>
    <x v="6"/>
    <x v="134"/>
    <x v="0"/>
  </r>
  <r>
    <x v="135"/>
    <x v="0"/>
    <x v="7"/>
    <x v="28"/>
    <n v="24873"/>
    <x v="2"/>
    <x v="0"/>
    <n v="26117"/>
    <n v="1244"/>
    <x v="5"/>
    <x v="135"/>
    <x v="0"/>
  </r>
  <r>
    <x v="136"/>
    <x v="0"/>
    <x v="4"/>
    <x v="27"/>
    <n v="96442"/>
    <x v="2"/>
    <x v="0"/>
    <n v="135012"/>
    <n v="38570"/>
    <x v="3"/>
    <x v="136"/>
    <x v="0"/>
  </r>
  <r>
    <x v="137"/>
    <x v="1"/>
    <x v="3"/>
    <x v="3"/>
    <n v="41490"/>
    <x v="0"/>
    <x v="0"/>
    <n v="53195"/>
    <n v="11705"/>
    <x v="1"/>
    <x v="137"/>
    <x v="0"/>
  </r>
  <r>
    <x v="138"/>
    <x v="1"/>
    <x v="6"/>
    <x v="45"/>
    <n v="51494"/>
    <x v="2"/>
    <x v="0"/>
    <n v="76283"/>
    <n v="24789"/>
    <x v="7"/>
    <x v="138"/>
    <x v="0"/>
  </r>
  <r>
    <x v="139"/>
    <x v="1"/>
    <x v="5"/>
    <x v="30"/>
    <n v="9202"/>
    <x v="3"/>
    <x v="0"/>
    <n v="13140"/>
    <n v="3938"/>
    <x v="9"/>
    <x v="139"/>
    <x v="0"/>
  </r>
  <r>
    <x v="140"/>
    <x v="1"/>
    <x v="0"/>
    <x v="5"/>
    <n v="13435"/>
    <x v="0"/>
    <x v="0"/>
    <n v="17841"/>
    <n v="4406"/>
    <x v="3"/>
    <x v="140"/>
    <x v="0"/>
  </r>
  <r>
    <x v="141"/>
    <x v="1"/>
    <x v="7"/>
    <x v="29"/>
    <n v="15908"/>
    <x v="2"/>
    <x v="0"/>
    <n v="16451"/>
    <n v="543"/>
    <x v="6"/>
    <x v="141"/>
    <x v="0"/>
  </r>
  <r>
    <x v="142"/>
    <x v="2"/>
    <x v="1"/>
    <x v="38"/>
    <n v="142901"/>
    <x v="0"/>
    <x v="0"/>
    <n v="198304"/>
    <n v="55403"/>
    <x v="2"/>
    <x v="142"/>
    <x v="0"/>
  </r>
  <r>
    <x v="143"/>
    <x v="2"/>
    <x v="5"/>
    <x v="8"/>
    <n v="10576"/>
    <x v="1"/>
    <x v="0"/>
    <n v="13841"/>
    <n v="3265"/>
    <x v="7"/>
    <x v="143"/>
    <x v="0"/>
  </r>
  <r>
    <x v="144"/>
    <x v="2"/>
    <x v="2"/>
    <x v="31"/>
    <n v="1290"/>
    <x v="2"/>
    <x v="0"/>
    <n v="1719"/>
    <n v="429"/>
    <x v="0"/>
    <x v="144"/>
    <x v="0"/>
  </r>
  <r>
    <x v="145"/>
    <x v="2"/>
    <x v="0"/>
    <x v="10"/>
    <n v="13403"/>
    <x v="2"/>
    <x v="0"/>
    <n v="18283"/>
    <n v="4880"/>
    <x v="7"/>
    <x v="145"/>
    <x v="0"/>
  </r>
  <r>
    <x v="146"/>
    <x v="2"/>
    <x v="7"/>
    <x v="32"/>
    <n v="6751"/>
    <x v="1"/>
    <x v="0"/>
    <n v="6877"/>
    <n v="126"/>
    <x v="2"/>
    <x v="146"/>
    <x v="0"/>
  </r>
  <r>
    <x v="147"/>
    <x v="2"/>
    <x v="6"/>
    <x v="9"/>
    <n v="27815"/>
    <x v="2"/>
    <x v="0"/>
    <n v="32282"/>
    <n v="4467"/>
    <x v="3"/>
    <x v="147"/>
    <x v="0"/>
  </r>
  <r>
    <x v="148"/>
    <x v="2"/>
    <x v="2"/>
    <x v="31"/>
    <n v="2103"/>
    <x v="0"/>
    <x v="0"/>
    <n v="2368"/>
    <n v="265"/>
    <x v="0"/>
    <x v="148"/>
    <x v="0"/>
  </r>
  <r>
    <x v="149"/>
    <x v="2"/>
    <x v="4"/>
    <x v="6"/>
    <n v="111671"/>
    <x v="3"/>
    <x v="0"/>
    <n v="141182"/>
    <n v="29511"/>
    <x v="1"/>
    <x v="149"/>
    <x v="0"/>
  </r>
  <r>
    <x v="150"/>
    <x v="3"/>
    <x v="0"/>
    <x v="15"/>
    <n v="15339"/>
    <x v="1"/>
    <x v="0"/>
    <n v="15594"/>
    <n v="255"/>
    <x v="8"/>
    <x v="150"/>
    <x v="0"/>
  </r>
  <r>
    <x v="151"/>
    <x v="3"/>
    <x v="0"/>
    <x v="15"/>
    <n v="24328"/>
    <x v="2"/>
    <x v="0"/>
    <n v="26582"/>
    <n v="2254"/>
    <x v="0"/>
    <x v="151"/>
    <x v="0"/>
  </r>
  <r>
    <x v="152"/>
    <x v="3"/>
    <x v="3"/>
    <x v="33"/>
    <n v="141294"/>
    <x v="3"/>
    <x v="0"/>
    <n v="166169"/>
    <n v="24875"/>
    <x v="6"/>
    <x v="152"/>
    <x v="0"/>
  </r>
  <r>
    <x v="153"/>
    <x v="3"/>
    <x v="4"/>
    <x v="12"/>
    <n v="119553"/>
    <x v="3"/>
    <x v="1"/>
    <n v="123789"/>
    <n v="4236"/>
    <x v="5"/>
    <x v="153"/>
    <x v="0"/>
  </r>
  <r>
    <x v="154"/>
    <x v="3"/>
    <x v="0"/>
    <x v="15"/>
    <n v="34683"/>
    <x v="0"/>
    <x v="0"/>
    <n v="38681"/>
    <n v="3998"/>
    <x v="0"/>
    <x v="154"/>
    <x v="0"/>
  </r>
  <r>
    <x v="155"/>
    <x v="3"/>
    <x v="7"/>
    <x v="39"/>
    <n v="15793"/>
    <x v="3"/>
    <x v="0"/>
    <n v="21346"/>
    <n v="5553"/>
    <x v="4"/>
    <x v="155"/>
    <x v="0"/>
  </r>
  <r>
    <x v="156"/>
    <x v="3"/>
    <x v="2"/>
    <x v="40"/>
    <n v="7489"/>
    <x v="0"/>
    <x v="0"/>
    <n v="9428"/>
    <n v="1939"/>
    <x v="1"/>
    <x v="156"/>
    <x v="0"/>
  </r>
  <r>
    <x v="157"/>
    <x v="3"/>
    <x v="0"/>
    <x v="15"/>
    <n v="40192"/>
    <x v="1"/>
    <x v="0"/>
    <n v="49657"/>
    <n v="9465"/>
    <x v="2"/>
    <x v="157"/>
    <x v="0"/>
  </r>
  <r>
    <x v="158"/>
    <x v="4"/>
    <x v="2"/>
    <x v="35"/>
    <n v="3240"/>
    <x v="3"/>
    <x v="0"/>
    <n v="4679"/>
    <n v="1439"/>
    <x v="9"/>
    <x v="158"/>
    <x v="0"/>
  </r>
  <r>
    <x v="159"/>
    <x v="4"/>
    <x v="6"/>
    <x v="18"/>
    <n v="35882"/>
    <x v="1"/>
    <x v="0"/>
    <n v="44737"/>
    <n v="8855"/>
    <x v="4"/>
    <x v="159"/>
    <x v="0"/>
  </r>
  <r>
    <x v="160"/>
    <x v="4"/>
    <x v="0"/>
    <x v="16"/>
    <n v="38138"/>
    <x v="0"/>
    <x v="0"/>
    <n v="47268"/>
    <n v="9130"/>
    <x v="4"/>
    <x v="160"/>
    <x v="0"/>
  </r>
  <r>
    <x v="161"/>
    <x v="4"/>
    <x v="3"/>
    <x v="34"/>
    <n v="143065"/>
    <x v="2"/>
    <x v="0"/>
    <n v="159177"/>
    <n v="16112"/>
    <x v="5"/>
    <x v="161"/>
    <x v="0"/>
  </r>
  <r>
    <x v="162"/>
    <x v="4"/>
    <x v="6"/>
    <x v="18"/>
    <n v="12255"/>
    <x v="3"/>
    <x v="1"/>
    <n v="12416"/>
    <n v="161"/>
    <x v="1"/>
    <x v="162"/>
    <x v="0"/>
  </r>
  <r>
    <x v="163"/>
    <x v="5"/>
    <x v="6"/>
    <x v="23"/>
    <n v="77416"/>
    <x v="2"/>
    <x v="0"/>
    <n v="96080"/>
    <n v="18664"/>
    <x v="8"/>
    <x v="163"/>
    <x v="0"/>
  </r>
  <r>
    <x v="164"/>
    <x v="5"/>
    <x v="1"/>
    <x v="21"/>
    <n v="40299"/>
    <x v="0"/>
    <x v="0"/>
    <n v="49124"/>
    <n v="8825"/>
    <x v="0"/>
    <x v="164"/>
    <x v="0"/>
  </r>
  <r>
    <x v="165"/>
    <x v="5"/>
    <x v="4"/>
    <x v="24"/>
    <n v="12592"/>
    <x v="1"/>
    <x v="0"/>
    <n v="14092"/>
    <n v="1500"/>
    <x v="8"/>
    <x v="165"/>
    <x v="0"/>
  </r>
  <r>
    <x v="166"/>
    <x v="5"/>
    <x v="6"/>
    <x v="23"/>
    <n v="6952"/>
    <x v="1"/>
    <x v="0"/>
    <n v="9987"/>
    <n v="3035"/>
    <x v="7"/>
    <x v="166"/>
    <x v="0"/>
  </r>
  <r>
    <x v="167"/>
    <x v="5"/>
    <x v="3"/>
    <x v="41"/>
    <n v="57341"/>
    <x v="0"/>
    <x v="1"/>
    <n v="65443"/>
    <n v="8102"/>
    <x v="0"/>
    <x v="167"/>
    <x v="0"/>
  </r>
  <r>
    <x v="168"/>
    <x v="5"/>
    <x v="1"/>
    <x v="21"/>
    <n v="114285"/>
    <x v="1"/>
    <x v="0"/>
    <n v="141639"/>
    <n v="27354"/>
    <x v="5"/>
    <x v="168"/>
    <x v="0"/>
  </r>
  <r>
    <x v="169"/>
    <x v="5"/>
    <x v="2"/>
    <x v="22"/>
    <n v="4554"/>
    <x v="0"/>
    <x v="0"/>
    <n v="6160"/>
    <n v="1606"/>
    <x v="6"/>
    <x v="169"/>
    <x v="0"/>
  </r>
  <r>
    <x v="170"/>
    <x v="5"/>
    <x v="5"/>
    <x v="36"/>
    <n v="13782"/>
    <x v="3"/>
    <x v="1"/>
    <n v="17582"/>
    <n v="3800"/>
    <x v="5"/>
    <x v="170"/>
    <x v="0"/>
  </r>
  <r>
    <x v="171"/>
    <x v="0"/>
    <x v="0"/>
    <x v="0"/>
    <n v="5538"/>
    <x v="2"/>
    <x v="0"/>
    <n v="6498"/>
    <n v="960"/>
    <x v="4"/>
    <x v="171"/>
    <x v="0"/>
  </r>
  <r>
    <x v="172"/>
    <x v="0"/>
    <x v="1"/>
    <x v="1"/>
    <n v="146575"/>
    <x v="3"/>
    <x v="0"/>
    <n v="163470"/>
    <n v="16895"/>
    <x v="2"/>
    <x v="172"/>
    <x v="0"/>
  </r>
  <r>
    <x v="173"/>
    <x v="0"/>
    <x v="6"/>
    <x v="43"/>
    <n v="35815"/>
    <x v="2"/>
    <x v="0"/>
    <n v="48321"/>
    <n v="12506"/>
    <x v="7"/>
    <x v="173"/>
    <x v="0"/>
  </r>
  <r>
    <x v="174"/>
    <x v="0"/>
    <x v="6"/>
    <x v="43"/>
    <n v="40428"/>
    <x v="0"/>
    <x v="0"/>
    <n v="46047"/>
    <n v="5619"/>
    <x v="7"/>
    <x v="174"/>
    <x v="0"/>
  </r>
  <r>
    <x v="175"/>
    <x v="0"/>
    <x v="4"/>
    <x v="27"/>
    <n v="69927"/>
    <x v="2"/>
    <x v="0"/>
    <n v="70586"/>
    <n v="659"/>
    <x v="7"/>
    <x v="175"/>
    <x v="0"/>
  </r>
  <r>
    <x v="176"/>
    <x v="0"/>
    <x v="2"/>
    <x v="2"/>
    <n v="3607"/>
    <x v="1"/>
    <x v="0"/>
    <n v="3940"/>
    <n v="333"/>
    <x v="7"/>
    <x v="176"/>
    <x v="0"/>
  </r>
  <r>
    <x v="177"/>
    <x v="0"/>
    <x v="5"/>
    <x v="26"/>
    <n v="1425"/>
    <x v="0"/>
    <x v="0"/>
    <n v="2073"/>
    <n v="648"/>
    <x v="1"/>
    <x v="177"/>
    <x v="0"/>
  </r>
  <r>
    <x v="178"/>
    <x v="0"/>
    <x v="6"/>
    <x v="43"/>
    <n v="49688"/>
    <x v="2"/>
    <x v="0"/>
    <n v="67719"/>
    <n v="18031"/>
    <x v="7"/>
    <x v="178"/>
    <x v="0"/>
  </r>
  <r>
    <x v="179"/>
    <x v="1"/>
    <x v="4"/>
    <x v="4"/>
    <n v="99541"/>
    <x v="2"/>
    <x v="0"/>
    <n v="145951"/>
    <n v="46410"/>
    <x v="1"/>
    <x v="179"/>
    <x v="0"/>
  </r>
  <r>
    <x v="180"/>
    <x v="1"/>
    <x v="7"/>
    <x v="29"/>
    <n v="8326"/>
    <x v="3"/>
    <x v="0"/>
    <n v="12324"/>
    <n v="3998"/>
    <x v="7"/>
    <x v="180"/>
    <x v="0"/>
  </r>
  <r>
    <x v="181"/>
    <x v="1"/>
    <x v="7"/>
    <x v="29"/>
    <n v="5802"/>
    <x v="0"/>
    <x v="0"/>
    <n v="8700"/>
    <n v="2898"/>
    <x v="1"/>
    <x v="181"/>
    <x v="0"/>
  </r>
  <r>
    <x v="182"/>
    <x v="1"/>
    <x v="6"/>
    <x v="45"/>
    <n v="40949"/>
    <x v="0"/>
    <x v="1"/>
    <n v="48355"/>
    <n v="7406"/>
    <x v="7"/>
    <x v="182"/>
    <x v="0"/>
  </r>
  <r>
    <x v="183"/>
    <x v="1"/>
    <x v="7"/>
    <x v="29"/>
    <n v="21626"/>
    <x v="0"/>
    <x v="0"/>
    <n v="28771"/>
    <n v="7145"/>
    <x v="6"/>
    <x v="183"/>
    <x v="0"/>
  </r>
  <r>
    <x v="184"/>
    <x v="1"/>
    <x v="6"/>
    <x v="45"/>
    <n v="62659"/>
    <x v="0"/>
    <x v="0"/>
    <n v="62937"/>
    <n v="278"/>
    <x v="9"/>
    <x v="184"/>
    <x v="0"/>
  </r>
  <r>
    <x v="185"/>
    <x v="1"/>
    <x v="4"/>
    <x v="4"/>
    <n v="12678"/>
    <x v="0"/>
    <x v="1"/>
    <n v="16352"/>
    <n v="3674"/>
    <x v="9"/>
    <x v="185"/>
    <x v="0"/>
  </r>
  <r>
    <x v="186"/>
    <x v="2"/>
    <x v="3"/>
    <x v="7"/>
    <n v="57134"/>
    <x v="0"/>
    <x v="0"/>
    <n v="64504"/>
    <n v="7370"/>
    <x v="6"/>
    <x v="186"/>
    <x v="0"/>
  </r>
  <r>
    <x v="187"/>
    <x v="2"/>
    <x v="2"/>
    <x v="31"/>
    <n v="5663"/>
    <x v="1"/>
    <x v="0"/>
    <n v="6157"/>
    <n v="494"/>
    <x v="4"/>
    <x v="187"/>
    <x v="0"/>
  </r>
  <r>
    <x v="188"/>
    <x v="2"/>
    <x v="6"/>
    <x v="9"/>
    <n v="29150"/>
    <x v="2"/>
    <x v="1"/>
    <n v="39126"/>
    <n v="9976"/>
    <x v="2"/>
    <x v="188"/>
    <x v="0"/>
  </r>
  <r>
    <x v="189"/>
    <x v="3"/>
    <x v="2"/>
    <x v="40"/>
    <n v="998"/>
    <x v="0"/>
    <x v="0"/>
    <n v="1473"/>
    <n v="475"/>
    <x v="2"/>
    <x v="189"/>
    <x v="0"/>
  </r>
  <r>
    <x v="190"/>
    <x v="3"/>
    <x v="6"/>
    <x v="14"/>
    <n v="35762"/>
    <x v="2"/>
    <x v="0"/>
    <n v="42016"/>
    <n v="6254"/>
    <x v="9"/>
    <x v="190"/>
    <x v="0"/>
  </r>
  <r>
    <x v="191"/>
    <x v="3"/>
    <x v="2"/>
    <x v="40"/>
    <n v="2171"/>
    <x v="2"/>
    <x v="0"/>
    <n v="2525"/>
    <n v="354"/>
    <x v="8"/>
    <x v="191"/>
    <x v="0"/>
  </r>
  <r>
    <x v="192"/>
    <x v="3"/>
    <x v="1"/>
    <x v="11"/>
    <n v="16473"/>
    <x v="0"/>
    <x v="0"/>
    <n v="19163"/>
    <n v="2690"/>
    <x v="8"/>
    <x v="192"/>
    <x v="0"/>
  </r>
  <r>
    <x v="193"/>
    <x v="3"/>
    <x v="5"/>
    <x v="13"/>
    <n v="8711"/>
    <x v="1"/>
    <x v="0"/>
    <n v="12816"/>
    <n v="4105"/>
    <x v="2"/>
    <x v="193"/>
    <x v="0"/>
  </r>
  <r>
    <x v="194"/>
    <x v="3"/>
    <x v="7"/>
    <x v="39"/>
    <n v="7917"/>
    <x v="1"/>
    <x v="1"/>
    <n v="11527"/>
    <n v="3610"/>
    <x v="0"/>
    <x v="194"/>
    <x v="0"/>
  </r>
  <r>
    <x v="195"/>
    <x v="3"/>
    <x v="5"/>
    <x v="13"/>
    <n v="4520"/>
    <x v="1"/>
    <x v="0"/>
    <n v="5376"/>
    <n v="856"/>
    <x v="8"/>
    <x v="195"/>
    <x v="0"/>
  </r>
  <r>
    <x v="196"/>
    <x v="4"/>
    <x v="0"/>
    <x v="16"/>
    <n v="16718"/>
    <x v="2"/>
    <x v="1"/>
    <n v="21444"/>
    <n v="4726"/>
    <x v="4"/>
    <x v="196"/>
    <x v="0"/>
  </r>
  <r>
    <x v="197"/>
    <x v="4"/>
    <x v="6"/>
    <x v="18"/>
    <n v="66909"/>
    <x v="2"/>
    <x v="0"/>
    <n v="88962"/>
    <n v="22053"/>
    <x v="5"/>
    <x v="197"/>
    <x v="0"/>
  </r>
  <r>
    <x v="198"/>
    <x v="4"/>
    <x v="7"/>
    <x v="46"/>
    <n v="10996"/>
    <x v="0"/>
    <x v="0"/>
    <n v="12803"/>
    <n v="1807"/>
    <x v="6"/>
    <x v="198"/>
    <x v="0"/>
  </r>
  <r>
    <x v="199"/>
    <x v="5"/>
    <x v="0"/>
    <x v="42"/>
    <n v="47421"/>
    <x v="2"/>
    <x v="0"/>
    <n v="53136"/>
    <n v="5715"/>
    <x v="4"/>
    <x v="199"/>
    <x v="0"/>
  </r>
  <r>
    <x v="200"/>
    <x v="5"/>
    <x v="0"/>
    <x v="42"/>
    <n v="25743"/>
    <x v="3"/>
    <x v="0"/>
    <n v="34152"/>
    <n v="8409"/>
    <x v="8"/>
    <x v="200"/>
    <x v="0"/>
  </r>
  <r>
    <x v="201"/>
    <x v="5"/>
    <x v="1"/>
    <x v="21"/>
    <n v="74210"/>
    <x v="3"/>
    <x v="1"/>
    <n v="103020"/>
    <n v="28810"/>
    <x v="5"/>
    <x v="201"/>
    <x v="0"/>
  </r>
  <r>
    <x v="202"/>
    <x v="5"/>
    <x v="5"/>
    <x v="36"/>
    <n v="6142"/>
    <x v="2"/>
    <x v="1"/>
    <n v="6504"/>
    <n v="362"/>
    <x v="3"/>
    <x v="202"/>
    <x v="0"/>
  </r>
  <r>
    <x v="203"/>
    <x v="5"/>
    <x v="3"/>
    <x v="41"/>
    <n v="175840"/>
    <x v="3"/>
    <x v="0"/>
    <n v="253336"/>
    <n v="77496"/>
    <x v="7"/>
    <x v="203"/>
    <x v="0"/>
  </r>
  <r>
    <x v="204"/>
    <x v="5"/>
    <x v="0"/>
    <x v="42"/>
    <n v="29435"/>
    <x v="2"/>
    <x v="0"/>
    <n v="33311"/>
    <n v="3876"/>
    <x v="3"/>
    <x v="204"/>
    <x v="0"/>
  </r>
  <r>
    <x v="205"/>
    <x v="5"/>
    <x v="4"/>
    <x v="24"/>
    <n v="8136"/>
    <x v="3"/>
    <x v="1"/>
    <n v="10943"/>
    <n v="2807"/>
    <x v="9"/>
    <x v="205"/>
    <x v="0"/>
  </r>
  <r>
    <x v="206"/>
    <x v="5"/>
    <x v="4"/>
    <x v="24"/>
    <n v="51447"/>
    <x v="3"/>
    <x v="0"/>
    <n v="54726"/>
    <n v="3279"/>
    <x v="4"/>
    <x v="206"/>
    <x v="0"/>
  </r>
  <r>
    <x v="207"/>
    <x v="0"/>
    <x v="0"/>
    <x v="0"/>
    <n v="49328"/>
    <x v="0"/>
    <x v="0"/>
    <n v="50444"/>
    <n v="1116"/>
    <x v="8"/>
    <x v="207"/>
    <x v="0"/>
  </r>
  <r>
    <x v="208"/>
    <x v="0"/>
    <x v="3"/>
    <x v="44"/>
    <n v="124213"/>
    <x v="3"/>
    <x v="0"/>
    <n v="142180"/>
    <n v="17967"/>
    <x v="1"/>
    <x v="208"/>
    <x v="0"/>
  </r>
  <r>
    <x v="209"/>
    <x v="0"/>
    <x v="0"/>
    <x v="0"/>
    <n v="11978"/>
    <x v="0"/>
    <x v="0"/>
    <n v="17342"/>
    <n v="5364"/>
    <x v="8"/>
    <x v="209"/>
    <x v="0"/>
  </r>
  <r>
    <x v="210"/>
    <x v="0"/>
    <x v="3"/>
    <x v="44"/>
    <n v="56326"/>
    <x v="0"/>
    <x v="0"/>
    <n v="70652"/>
    <n v="14326"/>
    <x v="0"/>
    <x v="210"/>
    <x v="0"/>
  </r>
  <r>
    <x v="211"/>
    <x v="0"/>
    <x v="3"/>
    <x v="44"/>
    <n v="99421"/>
    <x v="2"/>
    <x v="0"/>
    <n v="101821"/>
    <n v="2400"/>
    <x v="2"/>
    <x v="211"/>
    <x v="0"/>
  </r>
  <r>
    <x v="212"/>
    <x v="1"/>
    <x v="1"/>
    <x v="47"/>
    <n v="47538"/>
    <x v="3"/>
    <x v="0"/>
    <n v="48535"/>
    <n v="997"/>
    <x v="9"/>
    <x v="212"/>
    <x v="0"/>
  </r>
  <r>
    <x v="213"/>
    <x v="1"/>
    <x v="5"/>
    <x v="30"/>
    <n v="2629"/>
    <x v="1"/>
    <x v="0"/>
    <n v="3086"/>
    <n v="457"/>
    <x v="5"/>
    <x v="213"/>
    <x v="0"/>
  </r>
  <r>
    <x v="214"/>
    <x v="1"/>
    <x v="3"/>
    <x v="3"/>
    <n v="68624"/>
    <x v="0"/>
    <x v="1"/>
    <n v="99002"/>
    <n v="30378"/>
    <x v="4"/>
    <x v="214"/>
    <x v="0"/>
  </r>
  <r>
    <x v="215"/>
    <x v="1"/>
    <x v="7"/>
    <x v="29"/>
    <n v="7620"/>
    <x v="3"/>
    <x v="0"/>
    <n v="7986"/>
    <n v="366"/>
    <x v="1"/>
    <x v="215"/>
    <x v="0"/>
  </r>
  <r>
    <x v="216"/>
    <x v="1"/>
    <x v="2"/>
    <x v="37"/>
    <n v="554"/>
    <x v="1"/>
    <x v="0"/>
    <n v="689"/>
    <n v="135"/>
    <x v="0"/>
    <x v="216"/>
    <x v="0"/>
  </r>
  <r>
    <x v="217"/>
    <x v="2"/>
    <x v="4"/>
    <x v="6"/>
    <n v="100956"/>
    <x v="2"/>
    <x v="0"/>
    <n v="123410"/>
    <n v="22454"/>
    <x v="4"/>
    <x v="217"/>
    <x v="0"/>
  </r>
  <r>
    <x v="218"/>
    <x v="2"/>
    <x v="3"/>
    <x v="7"/>
    <n v="123315"/>
    <x v="3"/>
    <x v="0"/>
    <n v="153728"/>
    <n v="30413"/>
    <x v="4"/>
    <x v="218"/>
    <x v="0"/>
  </r>
  <r>
    <x v="219"/>
    <x v="2"/>
    <x v="0"/>
    <x v="10"/>
    <n v="16577"/>
    <x v="3"/>
    <x v="1"/>
    <n v="22606"/>
    <n v="6029"/>
    <x v="2"/>
    <x v="219"/>
    <x v="0"/>
  </r>
  <r>
    <x v="220"/>
    <x v="2"/>
    <x v="3"/>
    <x v="7"/>
    <n v="175314"/>
    <x v="1"/>
    <x v="0"/>
    <n v="239788"/>
    <n v="64474"/>
    <x v="7"/>
    <x v="220"/>
    <x v="0"/>
  </r>
  <r>
    <x v="221"/>
    <x v="2"/>
    <x v="0"/>
    <x v="10"/>
    <n v="48209"/>
    <x v="3"/>
    <x v="1"/>
    <n v="67353"/>
    <n v="19144"/>
    <x v="7"/>
    <x v="221"/>
    <x v="0"/>
  </r>
  <r>
    <x v="222"/>
    <x v="2"/>
    <x v="6"/>
    <x v="9"/>
    <n v="37232"/>
    <x v="3"/>
    <x v="0"/>
    <n v="39780"/>
    <n v="2548"/>
    <x v="5"/>
    <x v="222"/>
    <x v="0"/>
  </r>
  <r>
    <x v="223"/>
    <x v="2"/>
    <x v="1"/>
    <x v="38"/>
    <n v="137010"/>
    <x v="2"/>
    <x v="0"/>
    <n v="192764"/>
    <n v="55754"/>
    <x v="3"/>
    <x v="223"/>
    <x v="0"/>
  </r>
  <r>
    <x v="224"/>
    <x v="3"/>
    <x v="0"/>
    <x v="15"/>
    <n v="35836"/>
    <x v="3"/>
    <x v="0"/>
    <n v="51195"/>
    <n v="15359"/>
    <x v="8"/>
    <x v="224"/>
    <x v="0"/>
  </r>
  <r>
    <x v="225"/>
    <x v="3"/>
    <x v="3"/>
    <x v="33"/>
    <n v="156207"/>
    <x v="3"/>
    <x v="0"/>
    <n v="203945"/>
    <n v="47738"/>
    <x v="8"/>
    <x v="225"/>
    <x v="0"/>
  </r>
  <r>
    <x v="226"/>
    <x v="3"/>
    <x v="4"/>
    <x v="12"/>
    <n v="87709"/>
    <x v="0"/>
    <x v="0"/>
    <n v="113316"/>
    <n v="25607"/>
    <x v="9"/>
    <x v="226"/>
    <x v="0"/>
  </r>
  <r>
    <x v="227"/>
    <x v="3"/>
    <x v="1"/>
    <x v="11"/>
    <n v="88669"/>
    <x v="2"/>
    <x v="0"/>
    <n v="125941"/>
    <n v="37272"/>
    <x v="8"/>
    <x v="227"/>
    <x v="0"/>
  </r>
  <r>
    <x v="228"/>
    <x v="3"/>
    <x v="5"/>
    <x v="13"/>
    <n v="9903"/>
    <x v="3"/>
    <x v="0"/>
    <n v="12284"/>
    <n v="2381"/>
    <x v="5"/>
    <x v="228"/>
    <x v="0"/>
  </r>
  <r>
    <x v="229"/>
    <x v="3"/>
    <x v="3"/>
    <x v="33"/>
    <n v="95300"/>
    <x v="1"/>
    <x v="0"/>
    <n v="107088"/>
    <n v="11788"/>
    <x v="6"/>
    <x v="229"/>
    <x v="0"/>
  </r>
  <r>
    <x v="230"/>
    <x v="3"/>
    <x v="0"/>
    <x v="15"/>
    <n v="24778"/>
    <x v="3"/>
    <x v="0"/>
    <n v="33413"/>
    <n v="8635"/>
    <x v="6"/>
    <x v="230"/>
    <x v="0"/>
  </r>
  <r>
    <x v="231"/>
    <x v="3"/>
    <x v="4"/>
    <x v="12"/>
    <n v="95075"/>
    <x v="0"/>
    <x v="1"/>
    <n v="106240"/>
    <n v="11165"/>
    <x v="0"/>
    <x v="231"/>
    <x v="0"/>
  </r>
  <r>
    <x v="232"/>
    <x v="4"/>
    <x v="5"/>
    <x v="17"/>
    <n v="5286"/>
    <x v="2"/>
    <x v="0"/>
    <n v="7070"/>
    <n v="1784"/>
    <x v="8"/>
    <x v="232"/>
    <x v="0"/>
  </r>
  <r>
    <x v="233"/>
    <x v="4"/>
    <x v="7"/>
    <x v="46"/>
    <n v="4790"/>
    <x v="3"/>
    <x v="0"/>
    <n v="5433"/>
    <n v="643"/>
    <x v="7"/>
    <x v="233"/>
    <x v="0"/>
  </r>
  <r>
    <x v="234"/>
    <x v="4"/>
    <x v="3"/>
    <x v="34"/>
    <n v="117429"/>
    <x v="3"/>
    <x v="0"/>
    <n v="130423"/>
    <n v="12994"/>
    <x v="1"/>
    <x v="234"/>
    <x v="0"/>
  </r>
  <r>
    <x v="235"/>
    <x v="5"/>
    <x v="1"/>
    <x v="21"/>
    <n v="15221"/>
    <x v="2"/>
    <x v="0"/>
    <n v="22453"/>
    <n v="7232"/>
    <x v="2"/>
    <x v="235"/>
    <x v="0"/>
  </r>
  <r>
    <x v="236"/>
    <x v="5"/>
    <x v="0"/>
    <x v="42"/>
    <n v="44921"/>
    <x v="0"/>
    <x v="1"/>
    <n v="46026"/>
    <n v="1105"/>
    <x v="0"/>
    <x v="236"/>
    <x v="0"/>
  </r>
  <r>
    <x v="237"/>
    <x v="5"/>
    <x v="4"/>
    <x v="24"/>
    <n v="117685"/>
    <x v="3"/>
    <x v="0"/>
    <n v="159923"/>
    <n v="42238"/>
    <x v="2"/>
    <x v="237"/>
    <x v="0"/>
  </r>
  <r>
    <x v="238"/>
    <x v="5"/>
    <x v="2"/>
    <x v="22"/>
    <n v="5029"/>
    <x v="1"/>
    <x v="0"/>
    <n v="6873"/>
    <n v="1844"/>
    <x v="9"/>
    <x v="238"/>
    <x v="0"/>
  </r>
  <r>
    <x v="239"/>
    <x v="5"/>
    <x v="4"/>
    <x v="24"/>
    <n v="108722"/>
    <x v="0"/>
    <x v="0"/>
    <n v="135082"/>
    <n v="26360"/>
    <x v="7"/>
    <x v="239"/>
    <x v="0"/>
  </r>
  <r>
    <x v="240"/>
    <x v="0"/>
    <x v="2"/>
    <x v="2"/>
    <n v="776"/>
    <x v="2"/>
    <x v="0"/>
    <n v="882"/>
    <n v="106"/>
    <x v="3"/>
    <x v="240"/>
    <x v="0"/>
  </r>
  <r>
    <x v="241"/>
    <x v="0"/>
    <x v="0"/>
    <x v="0"/>
    <n v="7015"/>
    <x v="2"/>
    <x v="0"/>
    <n v="7274"/>
    <n v="259"/>
    <x v="7"/>
    <x v="241"/>
    <x v="0"/>
  </r>
  <r>
    <x v="242"/>
    <x v="0"/>
    <x v="1"/>
    <x v="1"/>
    <n v="35049"/>
    <x v="2"/>
    <x v="0"/>
    <n v="47945"/>
    <n v="12896"/>
    <x v="1"/>
    <x v="242"/>
    <x v="0"/>
  </r>
  <r>
    <x v="243"/>
    <x v="0"/>
    <x v="5"/>
    <x v="26"/>
    <n v="7965"/>
    <x v="0"/>
    <x v="0"/>
    <n v="10005"/>
    <n v="2040"/>
    <x v="6"/>
    <x v="243"/>
    <x v="0"/>
  </r>
  <r>
    <x v="244"/>
    <x v="0"/>
    <x v="0"/>
    <x v="0"/>
    <n v="19319"/>
    <x v="2"/>
    <x v="0"/>
    <n v="28682"/>
    <n v="9363"/>
    <x v="5"/>
    <x v="244"/>
    <x v="0"/>
  </r>
  <r>
    <x v="245"/>
    <x v="0"/>
    <x v="0"/>
    <x v="0"/>
    <n v="16565"/>
    <x v="0"/>
    <x v="0"/>
    <n v="24573"/>
    <n v="8008"/>
    <x v="5"/>
    <x v="245"/>
    <x v="0"/>
  </r>
  <r>
    <x v="246"/>
    <x v="0"/>
    <x v="2"/>
    <x v="2"/>
    <n v="3632"/>
    <x v="2"/>
    <x v="0"/>
    <n v="3663"/>
    <n v="31"/>
    <x v="9"/>
    <x v="246"/>
    <x v="0"/>
  </r>
  <r>
    <x v="247"/>
    <x v="0"/>
    <x v="3"/>
    <x v="44"/>
    <n v="68736"/>
    <x v="2"/>
    <x v="0"/>
    <n v="88597"/>
    <n v="19861"/>
    <x v="6"/>
    <x v="247"/>
    <x v="0"/>
  </r>
  <r>
    <x v="248"/>
    <x v="1"/>
    <x v="0"/>
    <x v="5"/>
    <n v="44127"/>
    <x v="1"/>
    <x v="0"/>
    <n v="50980"/>
    <n v="6853"/>
    <x v="9"/>
    <x v="248"/>
    <x v="0"/>
  </r>
  <r>
    <x v="249"/>
    <x v="1"/>
    <x v="2"/>
    <x v="37"/>
    <n v="7584"/>
    <x v="3"/>
    <x v="0"/>
    <n v="11156"/>
    <n v="3572"/>
    <x v="3"/>
    <x v="249"/>
    <x v="0"/>
  </r>
  <r>
    <x v="250"/>
    <x v="1"/>
    <x v="3"/>
    <x v="3"/>
    <n v="147207"/>
    <x v="3"/>
    <x v="0"/>
    <n v="200425"/>
    <n v="53218"/>
    <x v="6"/>
    <x v="250"/>
    <x v="0"/>
  </r>
  <r>
    <x v="251"/>
    <x v="1"/>
    <x v="4"/>
    <x v="4"/>
    <n v="45823"/>
    <x v="3"/>
    <x v="0"/>
    <n v="62789"/>
    <n v="16966"/>
    <x v="2"/>
    <x v="251"/>
    <x v="0"/>
  </r>
  <r>
    <x v="252"/>
    <x v="1"/>
    <x v="4"/>
    <x v="4"/>
    <n v="119219"/>
    <x v="3"/>
    <x v="1"/>
    <n v="119551"/>
    <n v="332"/>
    <x v="6"/>
    <x v="252"/>
    <x v="0"/>
  </r>
  <r>
    <x v="253"/>
    <x v="1"/>
    <x v="3"/>
    <x v="3"/>
    <n v="92055"/>
    <x v="0"/>
    <x v="0"/>
    <n v="136217"/>
    <n v="44162"/>
    <x v="6"/>
    <x v="253"/>
    <x v="0"/>
  </r>
  <r>
    <x v="254"/>
    <x v="2"/>
    <x v="0"/>
    <x v="10"/>
    <n v="8884"/>
    <x v="2"/>
    <x v="0"/>
    <n v="10775"/>
    <n v="1891"/>
    <x v="7"/>
    <x v="148"/>
    <x v="0"/>
  </r>
  <r>
    <x v="255"/>
    <x v="2"/>
    <x v="0"/>
    <x v="10"/>
    <n v="12891"/>
    <x v="1"/>
    <x v="0"/>
    <n v="14163"/>
    <n v="1272"/>
    <x v="8"/>
    <x v="254"/>
    <x v="0"/>
  </r>
  <r>
    <x v="256"/>
    <x v="2"/>
    <x v="1"/>
    <x v="38"/>
    <n v="147517"/>
    <x v="2"/>
    <x v="0"/>
    <n v="183452"/>
    <n v="35935"/>
    <x v="7"/>
    <x v="255"/>
    <x v="0"/>
  </r>
  <r>
    <x v="257"/>
    <x v="2"/>
    <x v="0"/>
    <x v="10"/>
    <n v="30539"/>
    <x v="0"/>
    <x v="1"/>
    <n v="45744"/>
    <n v="15205"/>
    <x v="2"/>
    <x v="256"/>
    <x v="0"/>
  </r>
  <r>
    <x v="258"/>
    <x v="2"/>
    <x v="5"/>
    <x v="8"/>
    <n v="10237"/>
    <x v="0"/>
    <x v="1"/>
    <n v="13565"/>
    <n v="3328"/>
    <x v="0"/>
    <x v="257"/>
    <x v="0"/>
  </r>
  <r>
    <x v="259"/>
    <x v="2"/>
    <x v="5"/>
    <x v="8"/>
    <n v="9509"/>
    <x v="2"/>
    <x v="0"/>
    <n v="12383"/>
    <n v="2874"/>
    <x v="2"/>
    <x v="258"/>
    <x v="0"/>
  </r>
  <r>
    <x v="260"/>
    <x v="2"/>
    <x v="1"/>
    <x v="38"/>
    <n v="147462"/>
    <x v="1"/>
    <x v="0"/>
    <n v="200186"/>
    <n v="52724"/>
    <x v="8"/>
    <x v="259"/>
    <x v="0"/>
  </r>
  <r>
    <x v="261"/>
    <x v="3"/>
    <x v="3"/>
    <x v="33"/>
    <n v="27576"/>
    <x v="0"/>
    <x v="0"/>
    <n v="41272"/>
    <n v="13696"/>
    <x v="0"/>
    <x v="260"/>
    <x v="0"/>
  </r>
  <r>
    <x v="262"/>
    <x v="3"/>
    <x v="3"/>
    <x v="33"/>
    <n v="96778"/>
    <x v="2"/>
    <x v="1"/>
    <n v="101361"/>
    <n v="4583"/>
    <x v="3"/>
    <x v="261"/>
    <x v="0"/>
  </r>
  <r>
    <x v="263"/>
    <x v="3"/>
    <x v="5"/>
    <x v="13"/>
    <n v="11425"/>
    <x v="0"/>
    <x v="0"/>
    <n v="14619"/>
    <n v="3194"/>
    <x v="0"/>
    <x v="262"/>
    <x v="0"/>
  </r>
  <r>
    <x v="264"/>
    <x v="3"/>
    <x v="7"/>
    <x v="39"/>
    <n v="29894"/>
    <x v="0"/>
    <x v="0"/>
    <n v="43518"/>
    <n v="13624"/>
    <x v="1"/>
    <x v="263"/>
    <x v="0"/>
  </r>
  <r>
    <x v="265"/>
    <x v="4"/>
    <x v="2"/>
    <x v="35"/>
    <n v="1134"/>
    <x v="3"/>
    <x v="0"/>
    <n v="1470"/>
    <n v="336"/>
    <x v="3"/>
    <x v="264"/>
    <x v="0"/>
  </r>
  <r>
    <x v="266"/>
    <x v="4"/>
    <x v="0"/>
    <x v="16"/>
    <n v="10303"/>
    <x v="2"/>
    <x v="0"/>
    <n v="14408"/>
    <n v="4105"/>
    <x v="1"/>
    <x v="265"/>
    <x v="0"/>
  </r>
  <r>
    <x v="267"/>
    <x v="4"/>
    <x v="7"/>
    <x v="46"/>
    <n v="29453"/>
    <x v="2"/>
    <x v="0"/>
    <n v="40310"/>
    <n v="10857"/>
    <x v="3"/>
    <x v="266"/>
    <x v="0"/>
  </r>
  <r>
    <x v="268"/>
    <x v="4"/>
    <x v="2"/>
    <x v="35"/>
    <n v="2273"/>
    <x v="3"/>
    <x v="0"/>
    <n v="2377"/>
    <n v="104"/>
    <x v="3"/>
    <x v="267"/>
    <x v="0"/>
  </r>
  <r>
    <x v="269"/>
    <x v="4"/>
    <x v="6"/>
    <x v="18"/>
    <n v="47380"/>
    <x v="3"/>
    <x v="1"/>
    <n v="49223"/>
    <n v="1843"/>
    <x v="6"/>
    <x v="268"/>
    <x v="0"/>
  </r>
  <r>
    <x v="270"/>
    <x v="5"/>
    <x v="3"/>
    <x v="41"/>
    <n v="95744"/>
    <x v="1"/>
    <x v="0"/>
    <n v="110228"/>
    <n v="14484"/>
    <x v="9"/>
    <x v="269"/>
    <x v="0"/>
  </r>
  <r>
    <x v="271"/>
    <x v="5"/>
    <x v="4"/>
    <x v="24"/>
    <n v="106439"/>
    <x v="0"/>
    <x v="0"/>
    <n v="126957"/>
    <n v="20518"/>
    <x v="9"/>
    <x v="270"/>
    <x v="0"/>
  </r>
  <r>
    <x v="272"/>
    <x v="5"/>
    <x v="0"/>
    <x v="42"/>
    <n v="41674"/>
    <x v="0"/>
    <x v="0"/>
    <n v="59223"/>
    <n v="17549"/>
    <x v="8"/>
    <x v="271"/>
    <x v="0"/>
  </r>
  <r>
    <x v="273"/>
    <x v="5"/>
    <x v="3"/>
    <x v="41"/>
    <n v="138475"/>
    <x v="1"/>
    <x v="1"/>
    <n v="186602"/>
    <n v="48127"/>
    <x v="8"/>
    <x v="272"/>
    <x v="0"/>
  </r>
  <r>
    <x v="274"/>
    <x v="5"/>
    <x v="5"/>
    <x v="36"/>
    <n v="3916"/>
    <x v="2"/>
    <x v="0"/>
    <n v="3966"/>
    <n v="50"/>
    <x v="8"/>
    <x v="273"/>
    <x v="0"/>
  </r>
  <r>
    <x v="275"/>
    <x v="5"/>
    <x v="2"/>
    <x v="22"/>
    <n v="3633"/>
    <x v="1"/>
    <x v="0"/>
    <n v="4313"/>
    <n v="680"/>
    <x v="6"/>
    <x v="274"/>
    <x v="0"/>
  </r>
  <r>
    <x v="276"/>
    <x v="5"/>
    <x v="2"/>
    <x v="22"/>
    <n v="545"/>
    <x v="1"/>
    <x v="0"/>
    <n v="705"/>
    <n v="160"/>
    <x v="5"/>
    <x v="275"/>
    <x v="0"/>
  </r>
  <r>
    <x v="277"/>
    <x v="5"/>
    <x v="6"/>
    <x v="23"/>
    <n v="40786"/>
    <x v="2"/>
    <x v="0"/>
    <n v="41470"/>
    <n v="684"/>
    <x v="7"/>
    <x v="276"/>
    <x v="0"/>
  </r>
  <r>
    <x v="278"/>
    <x v="0"/>
    <x v="6"/>
    <x v="43"/>
    <n v="79996"/>
    <x v="2"/>
    <x v="1"/>
    <n v="112927"/>
    <n v="32931"/>
    <x v="6"/>
    <x v="277"/>
    <x v="0"/>
  </r>
  <r>
    <x v="279"/>
    <x v="0"/>
    <x v="1"/>
    <x v="1"/>
    <n v="134111"/>
    <x v="1"/>
    <x v="0"/>
    <n v="184398"/>
    <n v="50287"/>
    <x v="2"/>
    <x v="278"/>
    <x v="0"/>
  </r>
  <r>
    <x v="280"/>
    <x v="0"/>
    <x v="1"/>
    <x v="1"/>
    <n v="56375"/>
    <x v="1"/>
    <x v="0"/>
    <n v="80924"/>
    <n v="24549"/>
    <x v="4"/>
    <x v="279"/>
    <x v="0"/>
  </r>
  <r>
    <x v="281"/>
    <x v="0"/>
    <x v="3"/>
    <x v="44"/>
    <n v="177111"/>
    <x v="1"/>
    <x v="1"/>
    <n v="240038"/>
    <n v="62927"/>
    <x v="5"/>
    <x v="280"/>
    <x v="0"/>
  </r>
  <r>
    <x v="282"/>
    <x v="0"/>
    <x v="6"/>
    <x v="43"/>
    <n v="48603"/>
    <x v="0"/>
    <x v="0"/>
    <n v="68950"/>
    <n v="20347"/>
    <x v="1"/>
    <x v="281"/>
    <x v="0"/>
  </r>
  <r>
    <x v="283"/>
    <x v="1"/>
    <x v="6"/>
    <x v="45"/>
    <n v="57844"/>
    <x v="1"/>
    <x v="0"/>
    <n v="69887"/>
    <n v="12043"/>
    <x v="0"/>
    <x v="282"/>
    <x v="0"/>
  </r>
  <r>
    <x v="284"/>
    <x v="1"/>
    <x v="1"/>
    <x v="47"/>
    <n v="79897"/>
    <x v="1"/>
    <x v="0"/>
    <n v="83251"/>
    <n v="3354"/>
    <x v="1"/>
    <x v="283"/>
    <x v="0"/>
  </r>
  <r>
    <x v="285"/>
    <x v="1"/>
    <x v="4"/>
    <x v="4"/>
    <n v="27671"/>
    <x v="1"/>
    <x v="0"/>
    <n v="36461"/>
    <n v="8790"/>
    <x v="5"/>
    <x v="284"/>
    <x v="0"/>
  </r>
  <r>
    <x v="286"/>
    <x v="1"/>
    <x v="5"/>
    <x v="30"/>
    <n v="2928"/>
    <x v="1"/>
    <x v="1"/>
    <n v="3428"/>
    <n v="500"/>
    <x v="6"/>
    <x v="285"/>
    <x v="0"/>
  </r>
  <r>
    <x v="287"/>
    <x v="1"/>
    <x v="0"/>
    <x v="5"/>
    <n v="7935"/>
    <x v="3"/>
    <x v="0"/>
    <n v="8659"/>
    <n v="724"/>
    <x v="1"/>
    <x v="286"/>
    <x v="0"/>
  </r>
  <r>
    <x v="288"/>
    <x v="1"/>
    <x v="6"/>
    <x v="45"/>
    <n v="27195"/>
    <x v="0"/>
    <x v="0"/>
    <n v="37920"/>
    <n v="10725"/>
    <x v="4"/>
    <x v="287"/>
    <x v="0"/>
  </r>
  <r>
    <x v="289"/>
    <x v="1"/>
    <x v="7"/>
    <x v="29"/>
    <n v="25311"/>
    <x v="3"/>
    <x v="0"/>
    <n v="33440"/>
    <n v="8129"/>
    <x v="5"/>
    <x v="288"/>
    <x v="0"/>
  </r>
  <r>
    <x v="290"/>
    <x v="2"/>
    <x v="7"/>
    <x v="32"/>
    <n v="8832"/>
    <x v="0"/>
    <x v="0"/>
    <n v="10064"/>
    <n v="1232"/>
    <x v="0"/>
    <x v="289"/>
    <x v="0"/>
  </r>
  <r>
    <x v="291"/>
    <x v="2"/>
    <x v="7"/>
    <x v="32"/>
    <n v="9528"/>
    <x v="0"/>
    <x v="0"/>
    <n v="10372"/>
    <n v="844"/>
    <x v="5"/>
    <x v="290"/>
    <x v="0"/>
  </r>
  <r>
    <x v="292"/>
    <x v="2"/>
    <x v="3"/>
    <x v="7"/>
    <n v="103101"/>
    <x v="2"/>
    <x v="0"/>
    <n v="132933"/>
    <n v="29832"/>
    <x v="7"/>
    <x v="291"/>
    <x v="0"/>
  </r>
  <r>
    <x v="293"/>
    <x v="2"/>
    <x v="4"/>
    <x v="6"/>
    <n v="25408"/>
    <x v="2"/>
    <x v="0"/>
    <n v="32242"/>
    <n v="6834"/>
    <x v="5"/>
    <x v="292"/>
    <x v="0"/>
  </r>
  <r>
    <x v="294"/>
    <x v="2"/>
    <x v="5"/>
    <x v="8"/>
    <n v="12463"/>
    <x v="0"/>
    <x v="0"/>
    <n v="18498"/>
    <n v="6035"/>
    <x v="9"/>
    <x v="293"/>
    <x v="0"/>
  </r>
  <r>
    <x v="295"/>
    <x v="2"/>
    <x v="7"/>
    <x v="32"/>
    <n v="10151"/>
    <x v="1"/>
    <x v="1"/>
    <n v="12525"/>
    <n v="2374"/>
    <x v="3"/>
    <x v="294"/>
    <x v="0"/>
  </r>
  <r>
    <x v="296"/>
    <x v="3"/>
    <x v="3"/>
    <x v="33"/>
    <n v="163831"/>
    <x v="2"/>
    <x v="1"/>
    <n v="190289"/>
    <n v="26458"/>
    <x v="7"/>
    <x v="295"/>
    <x v="0"/>
  </r>
  <r>
    <x v="297"/>
    <x v="3"/>
    <x v="0"/>
    <x v="15"/>
    <n v="43253"/>
    <x v="3"/>
    <x v="0"/>
    <n v="51014"/>
    <n v="7761"/>
    <x v="6"/>
    <x v="296"/>
    <x v="0"/>
  </r>
  <r>
    <x v="298"/>
    <x v="3"/>
    <x v="5"/>
    <x v="13"/>
    <n v="11614"/>
    <x v="0"/>
    <x v="0"/>
    <n v="16858"/>
    <n v="5244"/>
    <x v="3"/>
    <x v="297"/>
    <x v="0"/>
  </r>
  <r>
    <x v="299"/>
    <x v="3"/>
    <x v="1"/>
    <x v="11"/>
    <n v="15701"/>
    <x v="2"/>
    <x v="1"/>
    <n v="19147"/>
    <n v="3446"/>
    <x v="1"/>
    <x v="298"/>
    <x v="0"/>
  </r>
  <r>
    <x v="300"/>
    <x v="4"/>
    <x v="4"/>
    <x v="20"/>
    <n v="67072"/>
    <x v="0"/>
    <x v="1"/>
    <n v="95044"/>
    <n v="27972"/>
    <x v="2"/>
    <x v="299"/>
    <x v="0"/>
  </r>
  <r>
    <x v="301"/>
    <x v="4"/>
    <x v="4"/>
    <x v="20"/>
    <n v="44344"/>
    <x v="1"/>
    <x v="0"/>
    <n v="45234"/>
    <n v="890"/>
    <x v="8"/>
    <x v="300"/>
    <x v="0"/>
  </r>
  <r>
    <x v="302"/>
    <x v="4"/>
    <x v="4"/>
    <x v="20"/>
    <n v="82735"/>
    <x v="3"/>
    <x v="0"/>
    <n v="83916"/>
    <n v="1181"/>
    <x v="1"/>
    <x v="301"/>
    <x v="0"/>
  </r>
  <r>
    <x v="303"/>
    <x v="4"/>
    <x v="2"/>
    <x v="35"/>
    <n v="5152"/>
    <x v="0"/>
    <x v="0"/>
    <n v="7089"/>
    <n v="1937"/>
    <x v="4"/>
    <x v="302"/>
    <x v="0"/>
  </r>
  <r>
    <x v="304"/>
    <x v="4"/>
    <x v="1"/>
    <x v="19"/>
    <n v="100728"/>
    <x v="2"/>
    <x v="0"/>
    <n v="123831"/>
    <n v="23103"/>
    <x v="3"/>
    <x v="303"/>
    <x v="0"/>
  </r>
  <r>
    <x v="305"/>
    <x v="4"/>
    <x v="1"/>
    <x v="19"/>
    <n v="88979"/>
    <x v="3"/>
    <x v="0"/>
    <n v="102661"/>
    <n v="13682"/>
    <x v="8"/>
    <x v="304"/>
    <x v="0"/>
  </r>
  <r>
    <x v="306"/>
    <x v="4"/>
    <x v="2"/>
    <x v="35"/>
    <n v="1762"/>
    <x v="0"/>
    <x v="0"/>
    <n v="2365"/>
    <n v="603"/>
    <x v="6"/>
    <x v="305"/>
    <x v="0"/>
  </r>
  <r>
    <x v="307"/>
    <x v="4"/>
    <x v="5"/>
    <x v="17"/>
    <n v="2636"/>
    <x v="2"/>
    <x v="0"/>
    <n v="3257"/>
    <n v="621"/>
    <x v="6"/>
    <x v="306"/>
    <x v="0"/>
  </r>
  <r>
    <x v="308"/>
    <x v="5"/>
    <x v="3"/>
    <x v="41"/>
    <n v="195132"/>
    <x v="2"/>
    <x v="0"/>
    <n v="218815"/>
    <n v="23683"/>
    <x v="2"/>
    <x v="307"/>
    <x v="0"/>
  </r>
  <r>
    <x v="309"/>
    <x v="5"/>
    <x v="4"/>
    <x v="24"/>
    <n v="106352"/>
    <x v="2"/>
    <x v="1"/>
    <n v="123746"/>
    <n v="17394"/>
    <x v="8"/>
    <x v="308"/>
    <x v="0"/>
  </r>
  <r>
    <x v="310"/>
    <x v="5"/>
    <x v="0"/>
    <x v="42"/>
    <n v="24732"/>
    <x v="1"/>
    <x v="0"/>
    <n v="30770"/>
    <n v="6038"/>
    <x v="1"/>
    <x v="309"/>
    <x v="0"/>
  </r>
  <r>
    <x v="311"/>
    <x v="5"/>
    <x v="2"/>
    <x v="22"/>
    <n v="3523"/>
    <x v="1"/>
    <x v="1"/>
    <n v="4161"/>
    <n v="638"/>
    <x v="1"/>
    <x v="310"/>
    <x v="0"/>
  </r>
  <r>
    <x v="312"/>
    <x v="5"/>
    <x v="0"/>
    <x v="42"/>
    <n v="44308"/>
    <x v="3"/>
    <x v="0"/>
    <n v="49405"/>
    <n v="5097"/>
    <x v="0"/>
    <x v="311"/>
    <x v="0"/>
  </r>
  <r>
    <x v="313"/>
    <x v="5"/>
    <x v="4"/>
    <x v="24"/>
    <n v="17170"/>
    <x v="3"/>
    <x v="0"/>
    <n v="20085"/>
    <n v="2915"/>
    <x v="3"/>
    <x v="312"/>
    <x v="0"/>
  </r>
  <r>
    <x v="314"/>
    <x v="0"/>
    <x v="4"/>
    <x v="27"/>
    <n v="93509"/>
    <x v="0"/>
    <x v="0"/>
    <n v="131907"/>
    <n v="38398"/>
    <x v="3"/>
    <x v="313"/>
    <x v="0"/>
  </r>
  <r>
    <x v="315"/>
    <x v="0"/>
    <x v="4"/>
    <x v="27"/>
    <n v="94435"/>
    <x v="2"/>
    <x v="0"/>
    <n v="118863"/>
    <n v="24428"/>
    <x v="2"/>
    <x v="314"/>
    <x v="0"/>
  </r>
  <r>
    <x v="316"/>
    <x v="0"/>
    <x v="0"/>
    <x v="0"/>
    <n v="44983"/>
    <x v="1"/>
    <x v="0"/>
    <n v="64381"/>
    <n v="19398"/>
    <x v="2"/>
    <x v="315"/>
    <x v="0"/>
  </r>
  <r>
    <x v="317"/>
    <x v="0"/>
    <x v="4"/>
    <x v="27"/>
    <n v="94954"/>
    <x v="2"/>
    <x v="0"/>
    <n v="116541"/>
    <n v="21587"/>
    <x v="7"/>
    <x v="316"/>
    <x v="0"/>
  </r>
  <r>
    <x v="318"/>
    <x v="0"/>
    <x v="4"/>
    <x v="27"/>
    <n v="38901"/>
    <x v="2"/>
    <x v="1"/>
    <n v="53335"/>
    <n v="14434"/>
    <x v="2"/>
    <x v="317"/>
    <x v="0"/>
  </r>
  <r>
    <x v="319"/>
    <x v="1"/>
    <x v="5"/>
    <x v="30"/>
    <n v="14830"/>
    <x v="1"/>
    <x v="0"/>
    <n v="18797"/>
    <n v="3967"/>
    <x v="8"/>
    <x v="318"/>
    <x v="0"/>
  </r>
  <r>
    <x v="320"/>
    <x v="1"/>
    <x v="4"/>
    <x v="4"/>
    <n v="119073"/>
    <x v="1"/>
    <x v="0"/>
    <n v="159243"/>
    <n v="40170"/>
    <x v="1"/>
    <x v="319"/>
    <x v="0"/>
  </r>
  <r>
    <x v="321"/>
    <x v="1"/>
    <x v="2"/>
    <x v="37"/>
    <n v="4718"/>
    <x v="2"/>
    <x v="0"/>
    <n v="6635"/>
    <n v="1917"/>
    <x v="7"/>
    <x v="320"/>
    <x v="0"/>
  </r>
  <r>
    <x v="322"/>
    <x v="1"/>
    <x v="7"/>
    <x v="29"/>
    <n v="4305"/>
    <x v="2"/>
    <x v="0"/>
    <n v="4567"/>
    <n v="262"/>
    <x v="7"/>
    <x v="321"/>
    <x v="0"/>
  </r>
  <r>
    <x v="323"/>
    <x v="1"/>
    <x v="5"/>
    <x v="30"/>
    <n v="5134"/>
    <x v="0"/>
    <x v="0"/>
    <n v="6227"/>
    <n v="1093"/>
    <x v="9"/>
    <x v="322"/>
    <x v="0"/>
  </r>
  <r>
    <x v="324"/>
    <x v="1"/>
    <x v="1"/>
    <x v="47"/>
    <n v="86871"/>
    <x v="2"/>
    <x v="0"/>
    <n v="102372"/>
    <n v="15501"/>
    <x v="5"/>
    <x v="323"/>
    <x v="0"/>
  </r>
  <r>
    <x v="325"/>
    <x v="1"/>
    <x v="6"/>
    <x v="45"/>
    <n v="19638"/>
    <x v="2"/>
    <x v="0"/>
    <n v="23146"/>
    <n v="3508"/>
    <x v="3"/>
    <x v="324"/>
    <x v="0"/>
  </r>
  <r>
    <x v="326"/>
    <x v="1"/>
    <x v="0"/>
    <x v="5"/>
    <n v="10261"/>
    <x v="2"/>
    <x v="0"/>
    <n v="13990"/>
    <n v="3729"/>
    <x v="5"/>
    <x v="325"/>
    <x v="0"/>
  </r>
  <r>
    <x v="327"/>
    <x v="2"/>
    <x v="2"/>
    <x v="31"/>
    <n v="7263"/>
    <x v="2"/>
    <x v="0"/>
    <n v="10544"/>
    <n v="3281"/>
    <x v="4"/>
    <x v="326"/>
    <x v="0"/>
  </r>
  <r>
    <x v="328"/>
    <x v="2"/>
    <x v="5"/>
    <x v="8"/>
    <n v="1627"/>
    <x v="1"/>
    <x v="0"/>
    <n v="1746"/>
    <n v="119"/>
    <x v="9"/>
    <x v="327"/>
    <x v="0"/>
  </r>
  <r>
    <x v="329"/>
    <x v="2"/>
    <x v="5"/>
    <x v="8"/>
    <n v="11432"/>
    <x v="2"/>
    <x v="0"/>
    <n v="15715"/>
    <n v="4283"/>
    <x v="3"/>
    <x v="328"/>
    <x v="0"/>
  </r>
  <r>
    <x v="330"/>
    <x v="2"/>
    <x v="0"/>
    <x v="10"/>
    <n v="30405"/>
    <x v="3"/>
    <x v="1"/>
    <n v="45078"/>
    <n v="14673"/>
    <x v="5"/>
    <x v="329"/>
    <x v="0"/>
  </r>
  <r>
    <x v="331"/>
    <x v="2"/>
    <x v="2"/>
    <x v="31"/>
    <n v="6187"/>
    <x v="2"/>
    <x v="0"/>
    <n v="8659"/>
    <n v="2472"/>
    <x v="8"/>
    <x v="330"/>
    <x v="0"/>
  </r>
  <r>
    <x v="332"/>
    <x v="2"/>
    <x v="1"/>
    <x v="38"/>
    <n v="82575"/>
    <x v="2"/>
    <x v="0"/>
    <n v="103283"/>
    <n v="20708"/>
    <x v="5"/>
    <x v="331"/>
    <x v="0"/>
  </r>
  <r>
    <x v="333"/>
    <x v="3"/>
    <x v="4"/>
    <x v="12"/>
    <n v="32149"/>
    <x v="3"/>
    <x v="0"/>
    <n v="32450"/>
    <n v="301"/>
    <x v="5"/>
    <x v="332"/>
    <x v="0"/>
  </r>
  <r>
    <x v="334"/>
    <x v="3"/>
    <x v="5"/>
    <x v="13"/>
    <n v="2591"/>
    <x v="0"/>
    <x v="0"/>
    <n v="2878"/>
    <n v="287"/>
    <x v="4"/>
    <x v="333"/>
    <x v="0"/>
  </r>
  <r>
    <x v="335"/>
    <x v="3"/>
    <x v="7"/>
    <x v="39"/>
    <n v="26860"/>
    <x v="2"/>
    <x v="1"/>
    <n v="36423"/>
    <n v="9563"/>
    <x v="8"/>
    <x v="334"/>
    <x v="0"/>
  </r>
  <r>
    <x v="336"/>
    <x v="4"/>
    <x v="5"/>
    <x v="17"/>
    <n v="9871"/>
    <x v="1"/>
    <x v="0"/>
    <n v="11791"/>
    <n v="1920"/>
    <x v="2"/>
    <x v="335"/>
    <x v="0"/>
  </r>
  <r>
    <x v="337"/>
    <x v="4"/>
    <x v="5"/>
    <x v="17"/>
    <n v="14477"/>
    <x v="2"/>
    <x v="0"/>
    <n v="17694"/>
    <n v="3217"/>
    <x v="9"/>
    <x v="336"/>
    <x v="0"/>
  </r>
  <r>
    <x v="338"/>
    <x v="4"/>
    <x v="4"/>
    <x v="20"/>
    <n v="38514"/>
    <x v="1"/>
    <x v="0"/>
    <n v="46273"/>
    <n v="7759"/>
    <x v="9"/>
    <x v="337"/>
    <x v="0"/>
  </r>
  <r>
    <x v="339"/>
    <x v="4"/>
    <x v="0"/>
    <x v="16"/>
    <n v="15602"/>
    <x v="0"/>
    <x v="0"/>
    <n v="21437"/>
    <n v="5835"/>
    <x v="5"/>
    <x v="338"/>
    <x v="0"/>
  </r>
  <r>
    <x v="340"/>
    <x v="4"/>
    <x v="3"/>
    <x v="34"/>
    <n v="186816"/>
    <x v="3"/>
    <x v="1"/>
    <n v="230473"/>
    <n v="43657"/>
    <x v="2"/>
    <x v="339"/>
    <x v="0"/>
  </r>
  <r>
    <x v="341"/>
    <x v="4"/>
    <x v="4"/>
    <x v="20"/>
    <n v="59446"/>
    <x v="0"/>
    <x v="1"/>
    <n v="89045"/>
    <n v="29599"/>
    <x v="6"/>
    <x v="340"/>
    <x v="0"/>
  </r>
  <r>
    <x v="342"/>
    <x v="4"/>
    <x v="4"/>
    <x v="20"/>
    <n v="75463"/>
    <x v="1"/>
    <x v="0"/>
    <n v="80432"/>
    <n v="4969"/>
    <x v="8"/>
    <x v="341"/>
    <x v="0"/>
  </r>
  <r>
    <x v="343"/>
    <x v="5"/>
    <x v="0"/>
    <x v="42"/>
    <n v="39404"/>
    <x v="3"/>
    <x v="0"/>
    <n v="45105"/>
    <n v="5701"/>
    <x v="9"/>
    <x v="342"/>
    <x v="0"/>
  </r>
  <r>
    <x v="344"/>
    <x v="5"/>
    <x v="5"/>
    <x v="36"/>
    <n v="13308"/>
    <x v="0"/>
    <x v="0"/>
    <n v="14757"/>
    <n v="1449"/>
    <x v="2"/>
    <x v="343"/>
    <x v="0"/>
  </r>
  <r>
    <x v="345"/>
    <x v="5"/>
    <x v="0"/>
    <x v="42"/>
    <n v="45531"/>
    <x v="0"/>
    <x v="1"/>
    <n v="65673"/>
    <n v="20142"/>
    <x v="9"/>
    <x v="344"/>
    <x v="0"/>
  </r>
  <r>
    <x v="346"/>
    <x v="5"/>
    <x v="4"/>
    <x v="24"/>
    <n v="34504"/>
    <x v="2"/>
    <x v="0"/>
    <n v="49324"/>
    <n v="14820"/>
    <x v="6"/>
    <x v="345"/>
    <x v="0"/>
  </r>
  <r>
    <x v="347"/>
    <x v="0"/>
    <x v="4"/>
    <x v="27"/>
    <n v="42802"/>
    <x v="0"/>
    <x v="0"/>
    <n v="42873"/>
    <n v="71"/>
    <x v="3"/>
    <x v="346"/>
    <x v="0"/>
  </r>
  <r>
    <x v="348"/>
    <x v="0"/>
    <x v="0"/>
    <x v="0"/>
    <n v="27123"/>
    <x v="2"/>
    <x v="0"/>
    <n v="34991"/>
    <n v="7868"/>
    <x v="0"/>
    <x v="347"/>
    <x v="0"/>
  </r>
  <r>
    <x v="349"/>
    <x v="0"/>
    <x v="6"/>
    <x v="43"/>
    <n v="34385"/>
    <x v="1"/>
    <x v="1"/>
    <n v="36767"/>
    <n v="2382"/>
    <x v="1"/>
    <x v="348"/>
    <x v="0"/>
  </r>
  <r>
    <x v="350"/>
    <x v="0"/>
    <x v="6"/>
    <x v="43"/>
    <n v="47601"/>
    <x v="2"/>
    <x v="0"/>
    <n v="62115"/>
    <n v="14514"/>
    <x v="2"/>
    <x v="349"/>
    <x v="0"/>
  </r>
  <r>
    <x v="351"/>
    <x v="1"/>
    <x v="4"/>
    <x v="4"/>
    <n v="77359"/>
    <x v="3"/>
    <x v="0"/>
    <n v="97137"/>
    <n v="19778"/>
    <x v="2"/>
    <x v="350"/>
    <x v="0"/>
  </r>
  <r>
    <x v="352"/>
    <x v="1"/>
    <x v="1"/>
    <x v="47"/>
    <n v="133776"/>
    <x v="0"/>
    <x v="0"/>
    <n v="196459"/>
    <n v="62683"/>
    <x v="5"/>
    <x v="351"/>
    <x v="0"/>
  </r>
  <r>
    <x v="353"/>
    <x v="1"/>
    <x v="6"/>
    <x v="45"/>
    <n v="32132"/>
    <x v="3"/>
    <x v="1"/>
    <n v="41412"/>
    <n v="9280"/>
    <x v="6"/>
    <x v="352"/>
    <x v="0"/>
  </r>
  <r>
    <x v="354"/>
    <x v="1"/>
    <x v="1"/>
    <x v="47"/>
    <n v="130954"/>
    <x v="0"/>
    <x v="0"/>
    <n v="163707"/>
    <n v="32753"/>
    <x v="0"/>
    <x v="353"/>
    <x v="0"/>
  </r>
  <r>
    <x v="355"/>
    <x v="1"/>
    <x v="0"/>
    <x v="5"/>
    <n v="2451"/>
    <x v="2"/>
    <x v="1"/>
    <n v="3368"/>
    <n v="917"/>
    <x v="6"/>
    <x v="354"/>
    <x v="0"/>
  </r>
  <r>
    <x v="356"/>
    <x v="1"/>
    <x v="0"/>
    <x v="5"/>
    <n v="29334"/>
    <x v="1"/>
    <x v="1"/>
    <n v="43379"/>
    <n v="14045"/>
    <x v="9"/>
    <x v="355"/>
    <x v="0"/>
  </r>
  <r>
    <x v="357"/>
    <x v="1"/>
    <x v="3"/>
    <x v="3"/>
    <n v="136040"/>
    <x v="0"/>
    <x v="0"/>
    <n v="192344"/>
    <n v="56304"/>
    <x v="7"/>
    <x v="356"/>
    <x v="0"/>
  </r>
  <r>
    <x v="358"/>
    <x v="1"/>
    <x v="4"/>
    <x v="4"/>
    <n v="98929"/>
    <x v="2"/>
    <x v="0"/>
    <n v="144802"/>
    <n v="45873"/>
    <x v="4"/>
    <x v="357"/>
    <x v="0"/>
  </r>
  <r>
    <x v="359"/>
    <x v="2"/>
    <x v="7"/>
    <x v="32"/>
    <n v="27836"/>
    <x v="1"/>
    <x v="0"/>
    <n v="39322"/>
    <n v="11486"/>
    <x v="2"/>
    <x v="358"/>
    <x v="0"/>
  </r>
  <r>
    <x v="360"/>
    <x v="2"/>
    <x v="5"/>
    <x v="8"/>
    <n v="3325"/>
    <x v="2"/>
    <x v="0"/>
    <n v="4843"/>
    <n v="1518"/>
    <x v="5"/>
    <x v="359"/>
    <x v="0"/>
  </r>
  <r>
    <x v="361"/>
    <x v="2"/>
    <x v="5"/>
    <x v="8"/>
    <n v="11519"/>
    <x v="2"/>
    <x v="0"/>
    <n v="15514"/>
    <n v="3995"/>
    <x v="5"/>
    <x v="360"/>
    <x v="0"/>
  </r>
  <r>
    <x v="362"/>
    <x v="2"/>
    <x v="7"/>
    <x v="32"/>
    <n v="25583"/>
    <x v="2"/>
    <x v="0"/>
    <n v="31271"/>
    <n v="5688"/>
    <x v="1"/>
    <x v="361"/>
    <x v="0"/>
  </r>
  <r>
    <x v="363"/>
    <x v="3"/>
    <x v="6"/>
    <x v="14"/>
    <n v="23352"/>
    <x v="1"/>
    <x v="0"/>
    <n v="25080"/>
    <n v="1728"/>
    <x v="2"/>
    <x v="362"/>
    <x v="0"/>
  </r>
  <r>
    <x v="364"/>
    <x v="3"/>
    <x v="5"/>
    <x v="13"/>
    <n v="12694"/>
    <x v="3"/>
    <x v="1"/>
    <n v="14542"/>
    <n v="1848"/>
    <x v="5"/>
    <x v="363"/>
    <x v="0"/>
  </r>
  <r>
    <x v="365"/>
    <x v="3"/>
    <x v="3"/>
    <x v="33"/>
    <n v="186495"/>
    <x v="3"/>
    <x v="0"/>
    <n v="213992"/>
    <n v="27497"/>
    <x v="1"/>
    <x v="364"/>
    <x v="0"/>
  </r>
  <r>
    <x v="366"/>
    <x v="3"/>
    <x v="4"/>
    <x v="12"/>
    <n v="38725"/>
    <x v="3"/>
    <x v="1"/>
    <n v="51054"/>
    <n v="12329"/>
    <x v="5"/>
    <x v="365"/>
    <x v="0"/>
  </r>
  <r>
    <x v="367"/>
    <x v="3"/>
    <x v="6"/>
    <x v="14"/>
    <n v="39002"/>
    <x v="2"/>
    <x v="0"/>
    <n v="46104"/>
    <n v="7102"/>
    <x v="1"/>
    <x v="366"/>
    <x v="0"/>
  </r>
  <r>
    <x v="368"/>
    <x v="3"/>
    <x v="5"/>
    <x v="13"/>
    <n v="11548"/>
    <x v="0"/>
    <x v="1"/>
    <n v="12448"/>
    <n v="900"/>
    <x v="2"/>
    <x v="367"/>
    <x v="0"/>
  </r>
  <r>
    <x v="369"/>
    <x v="3"/>
    <x v="3"/>
    <x v="33"/>
    <n v="179968"/>
    <x v="2"/>
    <x v="0"/>
    <n v="195186"/>
    <n v="15218"/>
    <x v="6"/>
    <x v="368"/>
    <x v="0"/>
  </r>
  <r>
    <x v="370"/>
    <x v="4"/>
    <x v="0"/>
    <x v="16"/>
    <n v="24437"/>
    <x v="3"/>
    <x v="0"/>
    <n v="27184"/>
    <n v="2747"/>
    <x v="5"/>
    <x v="369"/>
    <x v="0"/>
  </r>
  <r>
    <x v="371"/>
    <x v="4"/>
    <x v="0"/>
    <x v="16"/>
    <n v="44598"/>
    <x v="2"/>
    <x v="1"/>
    <n v="48990"/>
    <n v="4392"/>
    <x v="7"/>
    <x v="370"/>
    <x v="0"/>
  </r>
  <r>
    <x v="372"/>
    <x v="4"/>
    <x v="2"/>
    <x v="35"/>
    <n v="6573"/>
    <x v="1"/>
    <x v="0"/>
    <n v="7239"/>
    <n v="666"/>
    <x v="4"/>
    <x v="371"/>
    <x v="0"/>
  </r>
  <r>
    <x v="373"/>
    <x v="5"/>
    <x v="0"/>
    <x v="42"/>
    <n v="19791"/>
    <x v="1"/>
    <x v="0"/>
    <n v="25266"/>
    <n v="5475"/>
    <x v="6"/>
    <x v="372"/>
    <x v="0"/>
  </r>
  <r>
    <x v="374"/>
    <x v="5"/>
    <x v="2"/>
    <x v="22"/>
    <n v="2504"/>
    <x v="3"/>
    <x v="0"/>
    <n v="2825"/>
    <n v="321"/>
    <x v="0"/>
    <x v="373"/>
    <x v="0"/>
  </r>
  <r>
    <x v="375"/>
    <x v="5"/>
    <x v="1"/>
    <x v="21"/>
    <n v="20546"/>
    <x v="0"/>
    <x v="0"/>
    <n v="30607"/>
    <n v="10061"/>
    <x v="0"/>
    <x v="374"/>
    <x v="0"/>
  </r>
  <r>
    <x v="376"/>
    <x v="5"/>
    <x v="1"/>
    <x v="21"/>
    <n v="146985"/>
    <x v="3"/>
    <x v="0"/>
    <n v="169236"/>
    <n v="22251"/>
    <x v="1"/>
    <x v="375"/>
    <x v="0"/>
  </r>
  <r>
    <x v="377"/>
    <x v="5"/>
    <x v="3"/>
    <x v="41"/>
    <n v="131705"/>
    <x v="1"/>
    <x v="0"/>
    <n v="138176"/>
    <n v="6471"/>
    <x v="4"/>
    <x v="376"/>
    <x v="0"/>
  </r>
  <r>
    <x v="378"/>
    <x v="5"/>
    <x v="3"/>
    <x v="41"/>
    <n v="40515"/>
    <x v="3"/>
    <x v="0"/>
    <n v="49467"/>
    <n v="8952"/>
    <x v="9"/>
    <x v="377"/>
    <x v="0"/>
  </r>
  <r>
    <x v="379"/>
    <x v="5"/>
    <x v="2"/>
    <x v="22"/>
    <n v="5401"/>
    <x v="1"/>
    <x v="1"/>
    <n v="6717"/>
    <n v="1316"/>
    <x v="8"/>
    <x v="378"/>
    <x v="0"/>
  </r>
  <r>
    <x v="380"/>
    <x v="0"/>
    <x v="3"/>
    <x v="44"/>
    <n v="178460"/>
    <x v="2"/>
    <x v="0"/>
    <n v="195842"/>
    <n v="17382"/>
    <x v="5"/>
    <x v="379"/>
    <x v="0"/>
  </r>
  <r>
    <x v="381"/>
    <x v="0"/>
    <x v="7"/>
    <x v="28"/>
    <n v="19141"/>
    <x v="2"/>
    <x v="1"/>
    <n v="25181"/>
    <n v="6040"/>
    <x v="5"/>
    <x v="380"/>
    <x v="0"/>
  </r>
  <r>
    <x v="382"/>
    <x v="0"/>
    <x v="7"/>
    <x v="28"/>
    <n v="11657"/>
    <x v="0"/>
    <x v="0"/>
    <n v="16712"/>
    <n v="5055"/>
    <x v="9"/>
    <x v="381"/>
    <x v="0"/>
  </r>
  <r>
    <x v="383"/>
    <x v="0"/>
    <x v="7"/>
    <x v="28"/>
    <n v="23510"/>
    <x v="3"/>
    <x v="0"/>
    <n v="28683"/>
    <n v="5173"/>
    <x v="7"/>
    <x v="382"/>
    <x v="0"/>
  </r>
  <r>
    <x v="384"/>
    <x v="0"/>
    <x v="3"/>
    <x v="44"/>
    <n v="139967"/>
    <x v="2"/>
    <x v="0"/>
    <n v="151383"/>
    <n v="11416"/>
    <x v="4"/>
    <x v="383"/>
    <x v="0"/>
  </r>
  <r>
    <x v="385"/>
    <x v="0"/>
    <x v="5"/>
    <x v="26"/>
    <n v="11451"/>
    <x v="3"/>
    <x v="0"/>
    <n v="15384"/>
    <n v="3933"/>
    <x v="4"/>
    <x v="384"/>
    <x v="0"/>
  </r>
  <r>
    <x v="386"/>
    <x v="0"/>
    <x v="2"/>
    <x v="2"/>
    <n v="3016"/>
    <x v="2"/>
    <x v="0"/>
    <n v="3773"/>
    <n v="757"/>
    <x v="5"/>
    <x v="385"/>
    <x v="0"/>
  </r>
  <r>
    <x v="387"/>
    <x v="0"/>
    <x v="2"/>
    <x v="2"/>
    <n v="5177"/>
    <x v="3"/>
    <x v="0"/>
    <n v="6916"/>
    <n v="1739"/>
    <x v="8"/>
    <x v="386"/>
    <x v="0"/>
  </r>
  <r>
    <x v="388"/>
    <x v="1"/>
    <x v="1"/>
    <x v="47"/>
    <n v="95375"/>
    <x v="2"/>
    <x v="0"/>
    <n v="140998"/>
    <n v="45623"/>
    <x v="0"/>
    <x v="387"/>
    <x v="0"/>
  </r>
  <r>
    <x v="389"/>
    <x v="1"/>
    <x v="3"/>
    <x v="3"/>
    <n v="89591"/>
    <x v="0"/>
    <x v="0"/>
    <n v="106201"/>
    <n v="16610"/>
    <x v="2"/>
    <x v="388"/>
    <x v="0"/>
  </r>
  <r>
    <x v="390"/>
    <x v="1"/>
    <x v="7"/>
    <x v="29"/>
    <n v="16936"/>
    <x v="2"/>
    <x v="0"/>
    <n v="21706"/>
    <n v="4770"/>
    <x v="8"/>
    <x v="389"/>
    <x v="0"/>
  </r>
  <r>
    <x v="391"/>
    <x v="1"/>
    <x v="4"/>
    <x v="4"/>
    <n v="51348"/>
    <x v="2"/>
    <x v="0"/>
    <n v="67928"/>
    <n v="16580"/>
    <x v="7"/>
    <x v="390"/>
    <x v="0"/>
  </r>
  <r>
    <x v="392"/>
    <x v="2"/>
    <x v="7"/>
    <x v="32"/>
    <n v="12659"/>
    <x v="0"/>
    <x v="0"/>
    <n v="17929"/>
    <n v="5270"/>
    <x v="8"/>
    <x v="391"/>
    <x v="0"/>
  </r>
  <r>
    <x v="393"/>
    <x v="2"/>
    <x v="2"/>
    <x v="31"/>
    <n v="7032"/>
    <x v="2"/>
    <x v="0"/>
    <n v="7788"/>
    <n v="756"/>
    <x v="4"/>
    <x v="392"/>
    <x v="0"/>
  </r>
  <r>
    <x v="394"/>
    <x v="2"/>
    <x v="2"/>
    <x v="31"/>
    <n v="1814"/>
    <x v="2"/>
    <x v="0"/>
    <n v="2109"/>
    <n v="295"/>
    <x v="8"/>
    <x v="393"/>
    <x v="0"/>
  </r>
  <r>
    <x v="395"/>
    <x v="2"/>
    <x v="2"/>
    <x v="31"/>
    <n v="2794"/>
    <x v="2"/>
    <x v="0"/>
    <n v="4173"/>
    <n v="1379"/>
    <x v="4"/>
    <x v="394"/>
    <x v="0"/>
  </r>
  <r>
    <x v="396"/>
    <x v="3"/>
    <x v="5"/>
    <x v="13"/>
    <n v="5522"/>
    <x v="0"/>
    <x v="0"/>
    <n v="7007"/>
    <n v="1485"/>
    <x v="6"/>
    <x v="395"/>
    <x v="0"/>
  </r>
  <r>
    <x v="397"/>
    <x v="3"/>
    <x v="0"/>
    <x v="15"/>
    <n v="23269"/>
    <x v="2"/>
    <x v="0"/>
    <n v="34638"/>
    <n v="11369"/>
    <x v="3"/>
    <x v="396"/>
    <x v="0"/>
  </r>
  <r>
    <x v="398"/>
    <x v="3"/>
    <x v="7"/>
    <x v="39"/>
    <n v="21811"/>
    <x v="2"/>
    <x v="0"/>
    <n v="23992"/>
    <n v="2181"/>
    <x v="2"/>
    <x v="397"/>
    <x v="0"/>
  </r>
  <r>
    <x v="399"/>
    <x v="3"/>
    <x v="7"/>
    <x v="39"/>
    <n v="21241"/>
    <x v="1"/>
    <x v="0"/>
    <n v="26881"/>
    <n v="5640"/>
    <x v="4"/>
    <x v="398"/>
    <x v="0"/>
  </r>
  <r>
    <x v="400"/>
    <x v="3"/>
    <x v="5"/>
    <x v="13"/>
    <n v="13659"/>
    <x v="3"/>
    <x v="0"/>
    <n v="16704"/>
    <n v="3045"/>
    <x v="6"/>
    <x v="399"/>
    <x v="0"/>
  </r>
  <r>
    <x v="401"/>
    <x v="3"/>
    <x v="3"/>
    <x v="33"/>
    <n v="104949"/>
    <x v="0"/>
    <x v="0"/>
    <n v="122424"/>
    <n v="17475"/>
    <x v="1"/>
    <x v="400"/>
    <x v="0"/>
  </r>
  <r>
    <x v="402"/>
    <x v="3"/>
    <x v="1"/>
    <x v="11"/>
    <n v="41245"/>
    <x v="2"/>
    <x v="0"/>
    <n v="54490"/>
    <n v="13245"/>
    <x v="7"/>
    <x v="401"/>
    <x v="0"/>
  </r>
  <r>
    <x v="403"/>
    <x v="3"/>
    <x v="6"/>
    <x v="14"/>
    <n v="72143"/>
    <x v="2"/>
    <x v="0"/>
    <n v="85615"/>
    <n v="13472"/>
    <x v="9"/>
    <x v="402"/>
    <x v="0"/>
  </r>
  <r>
    <x v="404"/>
    <x v="4"/>
    <x v="3"/>
    <x v="34"/>
    <n v="84094"/>
    <x v="1"/>
    <x v="0"/>
    <n v="108263"/>
    <n v="24169"/>
    <x v="1"/>
    <x v="403"/>
    <x v="0"/>
  </r>
  <r>
    <x v="405"/>
    <x v="4"/>
    <x v="0"/>
    <x v="16"/>
    <n v="36849"/>
    <x v="1"/>
    <x v="1"/>
    <n v="39764"/>
    <n v="2915"/>
    <x v="6"/>
    <x v="404"/>
    <x v="0"/>
  </r>
  <r>
    <x v="406"/>
    <x v="4"/>
    <x v="2"/>
    <x v="35"/>
    <n v="6659"/>
    <x v="2"/>
    <x v="0"/>
    <n v="6902"/>
    <n v="243"/>
    <x v="6"/>
    <x v="405"/>
    <x v="0"/>
  </r>
  <r>
    <x v="407"/>
    <x v="4"/>
    <x v="1"/>
    <x v="19"/>
    <n v="96620"/>
    <x v="0"/>
    <x v="0"/>
    <n v="100148"/>
    <n v="3528"/>
    <x v="9"/>
    <x v="406"/>
    <x v="0"/>
  </r>
  <r>
    <x v="408"/>
    <x v="4"/>
    <x v="6"/>
    <x v="18"/>
    <n v="57620"/>
    <x v="2"/>
    <x v="0"/>
    <n v="74178"/>
    <n v="16558"/>
    <x v="7"/>
    <x v="407"/>
    <x v="0"/>
  </r>
  <r>
    <x v="409"/>
    <x v="4"/>
    <x v="5"/>
    <x v="17"/>
    <n v="7998"/>
    <x v="3"/>
    <x v="1"/>
    <n v="8600"/>
    <n v="602"/>
    <x v="2"/>
    <x v="408"/>
    <x v="0"/>
  </r>
  <r>
    <x v="410"/>
    <x v="4"/>
    <x v="3"/>
    <x v="34"/>
    <n v="181340"/>
    <x v="0"/>
    <x v="1"/>
    <n v="241672"/>
    <n v="60332"/>
    <x v="3"/>
    <x v="409"/>
    <x v="0"/>
  </r>
  <r>
    <x v="411"/>
    <x v="5"/>
    <x v="2"/>
    <x v="22"/>
    <n v="3027"/>
    <x v="1"/>
    <x v="0"/>
    <n v="3302"/>
    <n v="275"/>
    <x v="9"/>
    <x v="410"/>
    <x v="0"/>
  </r>
  <r>
    <x v="412"/>
    <x v="5"/>
    <x v="0"/>
    <x v="42"/>
    <n v="23460"/>
    <x v="3"/>
    <x v="0"/>
    <n v="33672"/>
    <n v="10212"/>
    <x v="5"/>
    <x v="411"/>
    <x v="0"/>
  </r>
  <r>
    <x v="413"/>
    <x v="5"/>
    <x v="4"/>
    <x v="24"/>
    <n v="40530"/>
    <x v="0"/>
    <x v="0"/>
    <n v="45251"/>
    <n v="4721"/>
    <x v="3"/>
    <x v="412"/>
    <x v="0"/>
  </r>
  <r>
    <x v="414"/>
    <x v="5"/>
    <x v="0"/>
    <x v="42"/>
    <n v="26583"/>
    <x v="3"/>
    <x v="0"/>
    <n v="26921"/>
    <n v="338"/>
    <x v="7"/>
    <x v="413"/>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
  <r>
    <x v="0"/>
    <s v="Engineering"/>
    <x v="0"/>
    <s v="Software expense - Engineering"/>
    <n v="7099"/>
    <s v="Cash"/>
    <s v="Yes"/>
    <n v="8386"/>
    <n v="1287"/>
    <s v="PrintZone"/>
    <s v="INV-46989"/>
    <s v="2026"/>
  </r>
  <r>
    <x v="1"/>
    <s v="Engineering"/>
    <x v="1"/>
    <s v="Marketing expense - Engineering"/>
    <n v="37909"/>
    <s v="Credit Card"/>
    <s v="Yes"/>
    <n v="39147"/>
    <n v="1238"/>
    <s v="PrintZone"/>
    <s v="INV-82311"/>
    <s v="2026"/>
  </r>
  <r>
    <x v="2"/>
    <s v="Engineering"/>
    <x v="2"/>
    <s v="Office Supplies expense - Engineering"/>
    <n v="5729"/>
    <s v="Cash"/>
    <s v="Yes"/>
    <n v="8391"/>
    <n v="2662"/>
    <s v="AdPro Media"/>
    <s v="INV-84029"/>
    <s v="2026"/>
  </r>
  <r>
    <x v="3"/>
    <s v="Marketing"/>
    <x v="3"/>
    <s v="Consulting expense - Marketing"/>
    <n v="21974"/>
    <s v="Cash"/>
    <s v="Yes"/>
    <n v="22502"/>
    <n v="528"/>
    <s v="PowerGrid Co"/>
    <s v="INV-47015"/>
    <s v="2026"/>
  </r>
  <r>
    <x v="4"/>
    <s v="Marketing"/>
    <x v="4"/>
    <s v="Equipment expense - Marketing"/>
    <n v="70564"/>
    <s v="Cheque"/>
    <s v="Yes"/>
    <n v="77440"/>
    <n v="6876"/>
    <s v="CloudSoft"/>
    <s v="INV-98432"/>
    <s v="2026"/>
  </r>
  <r>
    <x v="5"/>
    <s v="Marketing"/>
    <x v="0"/>
    <s v="Software expense - Marketing"/>
    <n v="23713"/>
    <s v="Credit Card"/>
    <s v="No"/>
    <n v="28542"/>
    <n v="4829"/>
    <s v="CloudSoft"/>
    <s v="INV-13104"/>
    <s v="2025"/>
  </r>
  <r>
    <x v="6"/>
    <s v="Sales"/>
    <x v="4"/>
    <s v="Equipment expense - Sales"/>
    <n v="67515"/>
    <s v="Credit Card"/>
    <s v="Yes"/>
    <n v="87309"/>
    <n v="19794"/>
    <s v="CloudSoft"/>
    <s v="INV-29862"/>
    <s v="2026"/>
  </r>
  <r>
    <x v="7"/>
    <s v="Sales"/>
    <x v="3"/>
    <s v="Consulting expense - Sales"/>
    <n v="30644"/>
    <s v="Bank Transfer"/>
    <s v="Yes"/>
    <n v="44207"/>
    <n v="13563"/>
    <s v="CloudSoft"/>
    <s v="INV-31108"/>
    <s v="2026"/>
  </r>
  <r>
    <x v="8"/>
    <s v="Sales"/>
    <x v="5"/>
    <s v="Utilities expense - Sales"/>
    <n v="8331"/>
    <s v="Cash"/>
    <s v="Yes"/>
    <n v="11602"/>
    <n v="3271"/>
    <s v="AdPro Media"/>
    <s v="INV-66479"/>
    <s v="2026"/>
  </r>
  <r>
    <x v="9"/>
    <s v="Sales"/>
    <x v="6"/>
    <s v="Travel expense - Sales"/>
    <n v="55807"/>
    <s v="Credit Card"/>
    <s v="Yes"/>
    <n v="62479"/>
    <n v="6672"/>
    <s v="AdPro Media"/>
    <s v="INV-92285"/>
    <s v="2026"/>
  </r>
  <r>
    <x v="10"/>
    <s v="Sales"/>
    <x v="3"/>
    <s v="Consulting expense - Sales"/>
    <n v="35534"/>
    <s v="Cash"/>
    <s v="No"/>
    <n v="49832"/>
    <n v="14298"/>
    <s v="QuickTravel"/>
    <s v="INV-75393"/>
    <s v="2026"/>
  </r>
  <r>
    <x v="11"/>
    <s v="Sales"/>
    <x v="0"/>
    <s v="Software expense - Sales"/>
    <n v="31806"/>
    <s v="Bank Transfer"/>
    <s v="Yes"/>
    <n v="36795"/>
    <n v="4989"/>
    <s v="SkillUp Academy"/>
    <s v="INV-85564"/>
    <s v="2026"/>
  </r>
  <r>
    <x v="12"/>
    <s v="Sales"/>
    <x v="5"/>
    <s v="Utilities expense - Sales"/>
    <n v="6789"/>
    <s v="Cheque"/>
    <s v="Yes"/>
    <n v="7092"/>
    <n v="303"/>
    <s v="Strategy Consultants"/>
    <s v="INV-43557"/>
    <s v="2026"/>
  </r>
  <r>
    <x v="13"/>
    <s v="HR"/>
    <x v="1"/>
    <s v="Marketing expense - HR"/>
    <n v="42497"/>
    <s v="Credit Card"/>
    <s v="Yes"/>
    <n v="63144"/>
    <n v="20647"/>
    <s v="SkillUp Academy"/>
    <s v="INV-62551"/>
    <s v="2026"/>
  </r>
  <r>
    <x v="14"/>
    <s v="HR"/>
    <x v="4"/>
    <s v="Equipment expense - HR"/>
    <n v="117328"/>
    <s v="Bank Transfer"/>
    <s v="Yes"/>
    <n v="153681"/>
    <n v="36353"/>
    <s v="PowerGrid Co"/>
    <s v="INV-77171"/>
    <s v="2026"/>
  </r>
  <r>
    <x v="15"/>
    <s v="HR"/>
    <x v="5"/>
    <s v="Utilities expense - HR"/>
    <n v="7122"/>
    <s v="Cheque"/>
    <s v="Yes"/>
    <n v="7419"/>
    <n v="297"/>
    <s v="TechMart India"/>
    <s v="INV-91345"/>
    <s v="2026"/>
  </r>
  <r>
    <x v="16"/>
    <s v="HR"/>
    <x v="6"/>
    <s v="Travel expense - HR"/>
    <n v="37088"/>
    <s v="Credit Card"/>
    <s v="Yes"/>
    <n v="50064"/>
    <n v="12976"/>
    <s v="QuickTravel"/>
    <s v="INV-48097"/>
    <s v="2026"/>
  </r>
  <r>
    <x v="17"/>
    <s v="HR"/>
    <x v="4"/>
    <s v="Equipment expense - HR"/>
    <n v="25736"/>
    <s v="Credit Card"/>
    <s v="Yes"/>
    <n v="33072"/>
    <n v="7336"/>
    <s v="HardwarePro"/>
    <s v="INV-70591"/>
    <s v="2026"/>
  </r>
  <r>
    <x v="18"/>
    <s v="HR"/>
    <x v="0"/>
    <s v="Software expense - HR"/>
    <n v="24867"/>
    <s v="Cheque"/>
    <s v="Yes"/>
    <n v="30659"/>
    <n v="5792"/>
    <s v="QuickTravel"/>
    <s v="INV-33628"/>
    <s v="2026"/>
  </r>
  <r>
    <x v="19"/>
    <s v="Finance"/>
    <x v="0"/>
    <s v="Software expense - Finance"/>
    <n v="28014"/>
    <s v="Cheque"/>
    <s v="Yes"/>
    <n v="38774"/>
    <n v="10760"/>
    <s v="QuickTravel"/>
    <s v="INV-51587"/>
    <s v="2026"/>
  </r>
  <r>
    <x v="20"/>
    <s v="Finance"/>
    <x v="5"/>
    <s v="Utilities expense - Finance"/>
    <n v="10901"/>
    <s v="Cheque"/>
    <s v="Yes"/>
    <n v="13552"/>
    <n v="2651"/>
    <s v="SkillUp Academy"/>
    <s v="INV-69582"/>
    <s v="2026"/>
  </r>
  <r>
    <x v="21"/>
    <s v="Finance"/>
    <x v="6"/>
    <s v="Travel expense - Finance"/>
    <n v="76444"/>
    <s v="Bank Transfer"/>
    <s v="Yes"/>
    <n v="82397"/>
    <n v="5953"/>
    <s v="PowerGrid Co"/>
    <s v="INV-84475"/>
    <s v="2024"/>
  </r>
  <r>
    <x v="22"/>
    <s v="Finance"/>
    <x v="6"/>
    <s v="Travel expense - Finance"/>
    <n v="54844"/>
    <s v="Cash"/>
    <s v="Yes"/>
    <n v="56555"/>
    <n v="1711"/>
    <s v="Strategy Consultants"/>
    <s v="INV-37973"/>
    <s v="2024"/>
  </r>
  <r>
    <x v="23"/>
    <s v="Finance"/>
    <x v="6"/>
    <s v="Travel expense - Finance"/>
    <n v="32720"/>
    <s v="Cheque"/>
    <s v="Yes"/>
    <n v="46921"/>
    <n v="14201"/>
    <s v="SkillUp Academy"/>
    <s v="INV-93320"/>
    <s v="2024"/>
  </r>
  <r>
    <x v="24"/>
    <s v="Finance"/>
    <x v="1"/>
    <s v="Marketing expense - Finance"/>
    <n v="31912"/>
    <s v="Cheque"/>
    <s v="Yes"/>
    <n v="34174"/>
    <n v="2262"/>
    <s v="SkillUp Academy"/>
    <s v="INV-69168"/>
    <s v="2024"/>
  </r>
  <r>
    <x v="25"/>
    <s v="Finance"/>
    <x v="4"/>
    <s v="Equipment expense - Finance"/>
    <n v="73783"/>
    <s v="Bank Transfer"/>
    <s v="Yes"/>
    <n v="81682"/>
    <n v="7899"/>
    <s v="QuickTravel"/>
    <s v="INV-66168"/>
    <s v="2024"/>
  </r>
  <r>
    <x v="26"/>
    <s v="Finance"/>
    <x v="5"/>
    <s v="Utilities expense - Finance"/>
    <n v="13340"/>
    <s v="Cash"/>
    <s v="Yes"/>
    <n v="15320"/>
    <n v="1980"/>
    <s v="Strategy Consultants"/>
    <s v="INV-72324"/>
    <s v="2024"/>
  </r>
  <r>
    <x v="27"/>
    <s v="Operations"/>
    <x v="1"/>
    <s v="Marketing expense - Operations"/>
    <n v="124500"/>
    <s v="Cheque"/>
    <s v="Yes"/>
    <n v="146580"/>
    <n v="22080"/>
    <s v="GlobalTravel"/>
    <s v="INV-88266"/>
    <s v="2024"/>
  </r>
  <r>
    <x v="28"/>
    <s v="Operations"/>
    <x v="2"/>
    <s v="Office Supplies expense - Operations"/>
    <n v="1137"/>
    <s v="Bank Transfer"/>
    <s v="Yes"/>
    <n v="1548"/>
    <n v="411"/>
    <s v="PowerGrid Co"/>
    <s v="INV-11859"/>
    <s v="2024"/>
  </r>
  <r>
    <x v="29"/>
    <s v="Operations"/>
    <x v="1"/>
    <s v="Marketing expense - Operations"/>
    <n v="130234"/>
    <s v="Cash"/>
    <s v="Yes"/>
    <n v="191042"/>
    <n v="60808"/>
    <s v="HardwarePro"/>
    <s v="INV-44446"/>
    <s v="2024"/>
  </r>
  <r>
    <x v="30"/>
    <s v="Operations"/>
    <x v="6"/>
    <s v="Travel expense - Operations"/>
    <n v="64055"/>
    <s v="Bank Transfer"/>
    <s v="Yes"/>
    <n v="94267"/>
    <n v="30212"/>
    <s v="AdPro Media"/>
    <s v="INV-22772"/>
    <s v="2024"/>
  </r>
  <r>
    <x v="31"/>
    <s v="Operations"/>
    <x v="6"/>
    <s v="Travel expense - Operations"/>
    <n v="33655"/>
    <s v="Cheque"/>
    <s v="No"/>
    <n v="46203"/>
    <n v="12548"/>
    <s v="CloudSoft"/>
    <s v="INV-88766"/>
    <s v="2024"/>
  </r>
  <r>
    <x v="32"/>
    <s v="Operations"/>
    <x v="4"/>
    <s v="Equipment expense - Operations"/>
    <n v="33329"/>
    <s v="Credit Card"/>
    <s v="Yes"/>
    <n v="39130"/>
    <n v="5801"/>
    <s v="PowerGrid Co"/>
    <s v="INV-12122"/>
    <s v="2024"/>
  </r>
  <r>
    <x v="33"/>
    <s v="Operations"/>
    <x v="7"/>
    <s v="Training expense - Operations"/>
    <n v="13058"/>
    <s v="Credit Card"/>
    <s v="Yes"/>
    <n v="16336"/>
    <n v="3278"/>
    <s v="Strategy Consultants"/>
    <s v="INV-64270"/>
    <s v="2024"/>
  </r>
  <r>
    <x v="34"/>
    <s v="Engineering"/>
    <x v="5"/>
    <s v="Utilities expense - Engineering"/>
    <n v="6770"/>
    <s v="Cash"/>
    <s v="Yes"/>
    <n v="9573"/>
    <n v="2803"/>
    <s v="CloudSoft"/>
    <s v="INV-70138"/>
    <s v="2024"/>
  </r>
  <r>
    <x v="35"/>
    <s v="Engineering"/>
    <x v="4"/>
    <s v="Equipment expense - Engineering"/>
    <n v="53905"/>
    <s v="Bank Transfer"/>
    <s v="No"/>
    <n v="58673"/>
    <n v="4768"/>
    <s v="HardwarePro"/>
    <s v="INV-60012"/>
    <s v="2024"/>
  </r>
  <r>
    <x v="36"/>
    <s v="Engineering"/>
    <x v="7"/>
    <s v="Training expense - Engineering"/>
    <n v="24613"/>
    <s v="Cash"/>
    <s v="No"/>
    <n v="33087"/>
    <n v="8474"/>
    <s v="QuickTravel"/>
    <s v="INV-21484"/>
    <s v="2024"/>
  </r>
  <r>
    <x v="37"/>
    <s v="Engineering"/>
    <x v="0"/>
    <s v="Software expense - Engineering"/>
    <n v="7874"/>
    <s v="Cheque"/>
    <s v="Yes"/>
    <n v="10432"/>
    <n v="2558"/>
    <s v="Strategy Consultants"/>
    <s v="INV-91766"/>
    <s v="2024"/>
  </r>
  <r>
    <x v="38"/>
    <s v="Engineering"/>
    <x v="0"/>
    <s v="Software expense - Engineering"/>
    <n v="43518"/>
    <s v="Credit Card"/>
    <s v="Yes"/>
    <n v="53181"/>
    <n v="9663"/>
    <s v="HardwarePro"/>
    <s v="INV-37770"/>
    <s v="2026"/>
  </r>
  <r>
    <x v="39"/>
    <s v="Engineering"/>
    <x v="2"/>
    <s v="Office Supplies expense - Engineering"/>
    <n v="6864"/>
    <s v="Credit Card"/>
    <s v="Yes"/>
    <n v="8424"/>
    <n v="1560"/>
    <s v="Strategy Consultants"/>
    <s v="INV-26310"/>
    <s v="2026"/>
  </r>
  <r>
    <x v="40"/>
    <s v="Marketing"/>
    <x v="3"/>
    <s v="Consulting expense - Marketing"/>
    <n v="118248"/>
    <s v="Cheque"/>
    <s v="Yes"/>
    <n v="171932"/>
    <n v="53684"/>
    <s v="PowerGrid Co"/>
    <s v="INV-39351"/>
    <s v="2026"/>
  </r>
  <r>
    <x v="41"/>
    <s v="Marketing"/>
    <x v="7"/>
    <s v="Training expense - Marketing"/>
    <n v="11769"/>
    <s v="Cash"/>
    <s v="Yes"/>
    <n v="16945"/>
    <n v="5176"/>
    <s v="PrintZone"/>
    <s v="INV-10544"/>
    <s v="2026"/>
  </r>
  <r>
    <x v="42"/>
    <s v="Marketing"/>
    <x v="4"/>
    <s v="Equipment expense - Marketing"/>
    <n v="9282"/>
    <s v="Cash"/>
    <s v="No"/>
    <n v="9354"/>
    <n v="72"/>
    <s v="AdPro Media"/>
    <s v="INV-51611"/>
    <s v="2026"/>
  </r>
  <r>
    <x v="43"/>
    <s v="Marketing"/>
    <x v="5"/>
    <s v="Utilities expense - Marketing"/>
    <n v="3792"/>
    <s v="Bank Transfer"/>
    <s v="No"/>
    <n v="5611"/>
    <n v="1819"/>
    <s v="HardwarePro"/>
    <s v="INV-35252"/>
    <s v="2026"/>
  </r>
  <r>
    <x v="44"/>
    <s v="Marketing"/>
    <x v="4"/>
    <s v="Equipment expense - Marketing"/>
    <n v="113599"/>
    <s v="Cheque"/>
    <s v="Yes"/>
    <n v="116529"/>
    <n v="2930"/>
    <s v="HardwarePro"/>
    <s v="INV-32769"/>
    <s v="2026"/>
  </r>
  <r>
    <x v="45"/>
    <s v="Sales"/>
    <x v="5"/>
    <s v="Utilities expense - Sales"/>
    <n v="9475"/>
    <s v="Credit Card"/>
    <s v="Yes"/>
    <n v="10226"/>
    <n v="751"/>
    <s v="GlobalTravel"/>
    <s v="INV-25515"/>
    <s v="2026"/>
  </r>
  <r>
    <x v="46"/>
    <s v="Sales"/>
    <x v="4"/>
    <s v="Equipment expense - Sales"/>
    <n v="115497"/>
    <s v="Bank Transfer"/>
    <s v="Yes"/>
    <n v="159511"/>
    <n v="44014"/>
    <s v="PrintZone"/>
    <s v="INV-22223"/>
    <s v="2026"/>
  </r>
  <r>
    <x v="47"/>
    <s v="Sales"/>
    <x v="0"/>
    <s v="Software expense - Sales"/>
    <n v="3680"/>
    <s v="Bank Transfer"/>
    <s v="Yes"/>
    <n v="4485"/>
    <n v="805"/>
    <s v="AdPro Media"/>
    <s v="INV-81260"/>
    <s v="2026"/>
  </r>
  <r>
    <x v="48"/>
    <s v="Sales"/>
    <x v="0"/>
    <s v="Software expense - Sales"/>
    <n v="39473"/>
    <s v="Bank Transfer"/>
    <s v="Yes"/>
    <n v="47020"/>
    <n v="7547"/>
    <s v="PowerGrid Co"/>
    <s v="INV-34452"/>
    <s v="2026"/>
  </r>
  <r>
    <x v="49"/>
    <s v="Sales"/>
    <x v="2"/>
    <s v="Office Supplies expense - Sales"/>
    <n v="5845"/>
    <s v="Bank Transfer"/>
    <s v="No"/>
    <n v="8469"/>
    <n v="2624"/>
    <s v="PrintZone"/>
    <s v="INV-59559"/>
    <s v="2026"/>
  </r>
  <r>
    <x v="50"/>
    <s v="Sales"/>
    <x v="7"/>
    <s v="Training expense - Sales"/>
    <n v="24602"/>
    <s v="Bank Transfer"/>
    <s v="Yes"/>
    <n v="25239"/>
    <n v="637"/>
    <s v="AdPro Media"/>
    <s v="INV-23555"/>
    <s v="2026"/>
  </r>
  <r>
    <x v="51"/>
    <s v="HR"/>
    <x v="3"/>
    <s v="Consulting expense - HR"/>
    <n v="166210"/>
    <s v="Cash"/>
    <s v="Yes"/>
    <n v="176406"/>
    <n v="10196"/>
    <s v="CloudSoft"/>
    <s v="INV-22160"/>
    <s v="2026"/>
  </r>
  <r>
    <x v="52"/>
    <s v="HR"/>
    <x v="0"/>
    <s v="Software expense - HR"/>
    <n v="34390"/>
    <s v="Bank Transfer"/>
    <s v="Yes"/>
    <n v="48913"/>
    <n v="14523"/>
    <s v="QuickTravel"/>
    <s v="INV-74361"/>
    <s v="2026"/>
  </r>
  <r>
    <x v="53"/>
    <s v="HR"/>
    <x v="6"/>
    <s v="Travel expense - HR"/>
    <n v="59230"/>
    <s v="Credit Card"/>
    <s v="Yes"/>
    <n v="61409"/>
    <n v="2179"/>
    <s v="HardwarePro"/>
    <s v="INV-59185"/>
    <s v="2026"/>
  </r>
  <r>
    <x v="54"/>
    <s v="Finance"/>
    <x v="3"/>
    <s v="Consulting expense - Finance"/>
    <n v="52232"/>
    <s v="Bank Transfer"/>
    <s v="No"/>
    <n v="56928"/>
    <n v="4696"/>
    <s v="AdPro Media"/>
    <s v="INV-14122"/>
    <s v="2026"/>
  </r>
  <r>
    <x v="55"/>
    <s v="Finance"/>
    <x v="0"/>
    <s v="Software expense - Finance"/>
    <n v="24466"/>
    <s v="Credit Card"/>
    <s v="Yes"/>
    <n v="36622"/>
    <n v="12156"/>
    <s v="GlobalTravel"/>
    <s v="INV-43357"/>
    <s v="2026"/>
  </r>
  <r>
    <x v="56"/>
    <s v="Finance"/>
    <x v="0"/>
    <s v="Software expense - Finance"/>
    <n v="14638"/>
    <s v="Credit Card"/>
    <s v="No"/>
    <n v="19074"/>
    <n v="4436"/>
    <s v="GlobalTravel"/>
    <s v="INV-29968"/>
    <s v="2026"/>
  </r>
  <r>
    <x v="57"/>
    <s v="Finance"/>
    <x v="2"/>
    <s v="Office Supplies expense - Finance"/>
    <n v="7601"/>
    <s v="Credit Card"/>
    <s v="Yes"/>
    <n v="8988"/>
    <n v="1387"/>
    <s v="CloudSoft"/>
    <s v="INV-38804"/>
    <s v="2026"/>
  </r>
  <r>
    <x v="58"/>
    <s v="Finance"/>
    <x v="0"/>
    <s v="Software expense - Finance"/>
    <n v="49693"/>
    <s v="Cash"/>
    <s v="Yes"/>
    <n v="66877"/>
    <n v="17184"/>
    <s v="Strategy Consultants"/>
    <s v="INV-36114"/>
    <s v="2026"/>
  </r>
  <r>
    <x v="59"/>
    <s v="Operations"/>
    <x v="5"/>
    <s v="Utilities expense - Operations"/>
    <n v="12601"/>
    <s v="Cheque"/>
    <s v="Yes"/>
    <n v="16076"/>
    <n v="3475"/>
    <s v="HardwarePro"/>
    <s v="INV-77194"/>
    <s v="2026"/>
  </r>
  <r>
    <x v="60"/>
    <s v="Operations"/>
    <x v="4"/>
    <s v="Equipment expense - Operations"/>
    <n v="30304"/>
    <s v="Cash"/>
    <s v="Yes"/>
    <n v="34093"/>
    <n v="3789"/>
    <s v="QuickTravel"/>
    <s v="INV-86499"/>
    <s v="2026"/>
  </r>
  <r>
    <x v="61"/>
    <s v="Operations"/>
    <x v="7"/>
    <s v="Training expense - Operations"/>
    <n v="8428"/>
    <s v="Cheque"/>
    <s v="Yes"/>
    <n v="11774"/>
    <n v="3346"/>
    <s v="Strategy Consultants"/>
    <s v="INV-65540"/>
    <s v="2026"/>
  </r>
  <r>
    <x v="62"/>
    <s v="Engineering"/>
    <x v="7"/>
    <s v="Training expense - Engineering"/>
    <n v="29735"/>
    <s v="Cheque"/>
    <s v="Yes"/>
    <n v="34474"/>
    <n v="4739"/>
    <s v="PrintZone"/>
    <s v="INV-84336"/>
    <s v="2026"/>
  </r>
  <r>
    <x v="63"/>
    <s v="Engineering"/>
    <x v="5"/>
    <s v="Utilities expense - Engineering"/>
    <n v="7126"/>
    <s v="Credit Card"/>
    <s v="Yes"/>
    <n v="10325"/>
    <n v="3199"/>
    <s v="CloudSoft"/>
    <s v="INV-14424"/>
    <s v="2026"/>
  </r>
  <r>
    <x v="64"/>
    <s v="Engineering"/>
    <x v="7"/>
    <s v="Training expense - Engineering"/>
    <n v="22230"/>
    <s v="Cash"/>
    <s v="Yes"/>
    <n v="26785"/>
    <n v="4555"/>
    <s v="TechMart India"/>
    <s v="INV-25027"/>
    <s v="2026"/>
  </r>
  <r>
    <x v="65"/>
    <s v="Engineering"/>
    <x v="1"/>
    <s v="Marketing expense - Engineering"/>
    <n v="94588"/>
    <s v="Cash"/>
    <s v="Yes"/>
    <n v="114895"/>
    <n v="20307"/>
    <s v="QuickTravel"/>
    <s v="INV-38204"/>
    <s v="2026"/>
  </r>
  <r>
    <x v="66"/>
    <s v="Engineering"/>
    <x v="5"/>
    <s v="Utilities expense - Engineering"/>
    <n v="7094"/>
    <s v="Credit Card"/>
    <s v="Yes"/>
    <n v="7608"/>
    <n v="514"/>
    <s v="PowerGrid Co"/>
    <s v="INV-11428"/>
    <s v="2026"/>
  </r>
  <r>
    <x v="67"/>
    <s v="Engineering"/>
    <x v="5"/>
    <s v="Utilities expense - Engineering"/>
    <n v="4502"/>
    <s v="Cash"/>
    <s v="Yes"/>
    <n v="5550"/>
    <n v="1048"/>
    <s v="GlobalTravel"/>
    <s v="INV-18681"/>
    <s v="2026"/>
  </r>
  <r>
    <x v="68"/>
    <s v="Engineering"/>
    <x v="4"/>
    <s v="Equipment expense - Engineering"/>
    <n v="42173"/>
    <s v="Bank Transfer"/>
    <s v="Yes"/>
    <n v="54863"/>
    <n v="12690"/>
    <s v="GlobalTravel"/>
    <s v="INV-46444"/>
    <s v="2026"/>
  </r>
  <r>
    <x v="69"/>
    <s v="Marketing"/>
    <x v="0"/>
    <s v="Software expense - Marketing"/>
    <n v="39614"/>
    <s v="Cheque"/>
    <s v="Yes"/>
    <n v="57295"/>
    <n v="17681"/>
    <s v="PowerGrid Co"/>
    <s v="INV-35971"/>
    <s v="2026"/>
  </r>
  <r>
    <x v="70"/>
    <s v="Marketing"/>
    <x v="2"/>
    <s v="Office Supplies expense - Marketing"/>
    <n v="906"/>
    <s v="Credit Card"/>
    <s v="Yes"/>
    <n v="1270"/>
    <n v="364"/>
    <s v="HardwarePro"/>
    <s v="INV-25631"/>
    <s v="2026"/>
  </r>
  <r>
    <x v="71"/>
    <s v="Marketing"/>
    <x v="0"/>
    <s v="Software expense - Marketing"/>
    <n v="31673"/>
    <s v="Cheque"/>
    <s v="Yes"/>
    <n v="34383"/>
    <n v="2710"/>
    <s v="AdPro Media"/>
    <s v="INV-12787"/>
    <s v="2026"/>
  </r>
  <r>
    <x v="72"/>
    <s v="Marketing"/>
    <x v="7"/>
    <s v="Training expense - Marketing"/>
    <n v="3584"/>
    <s v="Credit Card"/>
    <s v="Yes"/>
    <n v="4737"/>
    <n v="1153"/>
    <s v="SkillUp Academy"/>
    <s v="INV-27178"/>
    <s v="2026"/>
  </r>
  <r>
    <x v="73"/>
    <s v="Marketing"/>
    <x v="4"/>
    <s v="Equipment expense - Marketing"/>
    <n v="9850"/>
    <s v="Credit Card"/>
    <s v="Yes"/>
    <n v="14262"/>
    <n v="4412"/>
    <s v="TechMart India"/>
    <s v="INV-19103"/>
    <s v="2026"/>
  </r>
  <r>
    <x v="74"/>
    <s v="Marketing"/>
    <x v="3"/>
    <s v="Consulting expense - Marketing"/>
    <n v="34935"/>
    <s v="Cash"/>
    <s v="Yes"/>
    <n v="49430"/>
    <n v="14495"/>
    <s v="PowerGrid Co"/>
    <s v="INV-55327"/>
    <s v="2026"/>
  </r>
  <r>
    <x v="75"/>
    <s v="Marketing"/>
    <x v="4"/>
    <s v="Equipment expense - Marketing"/>
    <n v="15455"/>
    <s v="Cheque"/>
    <s v="No"/>
    <n v="19755"/>
    <n v="4300"/>
    <s v="TechMart India"/>
    <s v="INV-61554"/>
    <s v="2026"/>
  </r>
  <r>
    <x v="76"/>
    <s v="Marketing"/>
    <x v="7"/>
    <s v="Training expense - Marketing"/>
    <n v="25821"/>
    <s v="Credit Card"/>
    <s v="Yes"/>
    <n v="38525"/>
    <n v="12704"/>
    <s v="AdPro Media"/>
    <s v="INV-23466"/>
    <s v="2026"/>
  </r>
  <r>
    <x v="77"/>
    <s v="Sales"/>
    <x v="2"/>
    <s v="Office Supplies expense - Sales"/>
    <n v="891"/>
    <s v="Credit Card"/>
    <s v="Yes"/>
    <n v="1259"/>
    <n v="368"/>
    <s v="HardwarePro"/>
    <s v="INV-39667"/>
    <s v="2026"/>
  </r>
  <r>
    <x v="78"/>
    <s v="Sales"/>
    <x v="1"/>
    <s v="Marketing expense - Sales"/>
    <n v="33073"/>
    <s v="Cash"/>
    <s v="No"/>
    <n v="36234"/>
    <n v="3161"/>
    <s v="TechMart India"/>
    <s v="INV-16880"/>
    <s v="2026"/>
  </r>
  <r>
    <x v="79"/>
    <s v="Sales"/>
    <x v="7"/>
    <s v="Training expense - Sales"/>
    <n v="28721"/>
    <s v="Cash"/>
    <s v="Yes"/>
    <n v="29340"/>
    <n v="619"/>
    <s v="SkillUp Academy"/>
    <s v="INV-53165"/>
    <s v="2026"/>
  </r>
  <r>
    <x v="80"/>
    <s v="HR"/>
    <x v="4"/>
    <s v="Equipment expense - HR"/>
    <n v="40377"/>
    <s v="Cheque"/>
    <s v="Yes"/>
    <n v="54482"/>
    <n v="14105"/>
    <s v="CloudSoft"/>
    <s v="INV-51855"/>
    <s v="2026"/>
  </r>
  <r>
    <x v="81"/>
    <s v="HR"/>
    <x v="1"/>
    <s v="Marketing expense - HR"/>
    <n v="118342"/>
    <s v="Credit Card"/>
    <s v="No"/>
    <n v="156028"/>
    <n v="37686"/>
    <s v="GlobalTravel"/>
    <s v="INV-41525"/>
    <s v="2026"/>
  </r>
  <r>
    <x v="82"/>
    <s v="HR"/>
    <x v="3"/>
    <s v="Consulting expense - HR"/>
    <n v="183347"/>
    <s v="Cash"/>
    <s v="Yes"/>
    <n v="228277"/>
    <n v="44930"/>
    <s v="PrintZone"/>
    <s v="INV-22032"/>
    <s v="2026"/>
  </r>
  <r>
    <x v="83"/>
    <s v="HR"/>
    <x v="7"/>
    <s v="Training expense - HR"/>
    <n v="28106"/>
    <s v="Cash"/>
    <s v="No"/>
    <n v="32269"/>
    <n v="4163"/>
    <s v="PrintZone"/>
    <s v="INV-96439"/>
    <s v="2026"/>
  </r>
  <r>
    <x v="84"/>
    <s v="HR"/>
    <x v="2"/>
    <s v="Office Supplies expense - HR"/>
    <n v="6193"/>
    <s v="Credit Card"/>
    <s v="Yes"/>
    <n v="6435"/>
    <n v="242"/>
    <s v="TechMart India"/>
    <s v="INV-97883"/>
    <s v="2026"/>
  </r>
  <r>
    <x v="85"/>
    <s v="HR"/>
    <x v="2"/>
    <s v="Office Supplies expense - HR"/>
    <n v="4335"/>
    <s v="Cheque"/>
    <s v="Yes"/>
    <n v="6109"/>
    <n v="1774"/>
    <s v="PowerGrid Co"/>
    <s v="INV-37349"/>
    <s v="2026"/>
  </r>
  <r>
    <x v="86"/>
    <s v="HR"/>
    <x v="5"/>
    <s v="Utilities expense - HR"/>
    <n v="13459"/>
    <s v="Cheque"/>
    <s v="Yes"/>
    <n v="19814"/>
    <n v="6355"/>
    <s v="GlobalTravel"/>
    <s v="INV-23849"/>
    <s v="2026"/>
  </r>
  <r>
    <x v="87"/>
    <s v="HR"/>
    <x v="1"/>
    <s v="Marketing expense - HR"/>
    <n v="67353"/>
    <s v="Cheque"/>
    <s v="No"/>
    <n v="98224"/>
    <n v="30871"/>
    <s v="GlobalTravel"/>
    <s v="INV-36610"/>
    <s v="2026"/>
  </r>
  <r>
    <x v="88"/>
    <s v="Finance"/>
    <x v="2"/>
    <s v="Office Supplies expense - Finance"/>
    <n v="1062"/>
    <s v="Cash"/>
    <s v="No"/>
    <n v="1210"/>
    <n v="148"/>
    <s v="QuickTravel"/>
    <s v="INV-29305"/>
    <s v="2026"/>
  </r>
  <r>
    <x v="89"/>
    <s v="Finance"/>
    <x v="3"/>
    <s v="Consulting expense - Finance"/>
    <n v="38094"/>
    <s v="Credit Card"/>
    <s v="Yes"/>
    <n v="52285"/>
    <n v="14191"/>
    <s v="CloudSoft"/>
    <s v="INV-44964"/>
    <s v="2026"/>
  </r>
  <r>
    <x v="90"/>
    <s v="Finance"/>
    <x v="6"/>
    <s v="Travel expense - Finance"/>
    <n v="67421"/>
    <s v="Cash"/>
    <s v="Yes"/>
    <n v="89733"/>
    <n v="22312"/>
    <s v="QuickTravel"/>
    <s v="INV-82129"/>
    <s v="2026"/>
  </r>
  <r>
    <x v="91"/>
    <s v="Finance"/>
    <x v="0"/>
    <s v="Software expense - Finance"/>
    <n v="25227"/>
    <s v="Cheque"/>
    <s v="No"/>
    <n v="30669"/>
    <n v="5442"/>
    <s v="HardwarePro"/>
    <s v="INV-76574"/>
    <s v="2026"/>
  </r>
  <r>
    <x v="92"/>
    <s v="Finance"/>
    <x v="5"/>
    <s v="Utilities expense - Finance"/>
    <n v="1870"/>
    <s v="Credit Card"/>
    <s v="Yes"/>
    <n v="2283"/>
    <n v="413"/>
    <s v="HardwarePro"/>
    <s v="INV-65389"/>
    <s v="2026"/>
  </r>
  <r>
    <x v="93"/>
    <s v="Finance"/>
    <x v="2"/>
    <s v="Office Supplies expense - Finance"/>
    <n v="2908"/>
    <s v="Cash"/>
    <s v="No"/>
    <n v="3183"/>
    <n v="275"/>
    <s v="AdPro Media"/>
    <s v="INV-74699"/>
    <s v="2026"/>
  </r>
  <r>
    <x v="94"/>
    <s v="Operations"/>
    <x v="4"/>
    <s v="Equipment expense - Operations"/>
    <n v="19311"/>
    <s v="Bank Transfer"/>
    <s v="Yes"/>
    <n v="25888"/>
    <n v="6577"/>
    <s v="PrintZone"/>
    <s v="INV-25097"/>
    <s v="2026"/>
  </r>
  <r>
    <x v="95"/>
    <s v="Operations"/>
    <x v="6"/>
    <s v="Travel expense - Operations"/>
    <n v="9677"/>
    <s v="Credit Card"/>
    <s v="No"/>
    <n v="12460"/>
    <n v="2783"/>
    <s v="QuickTravel"/>
    <s v="INV-46105"/>
    <s v="2026"/>
  </r>
  <r>
    <x v="96"/>
    <s v="Operations"/>
    <x v="2"/>
    <s v="Office Supplies expense - Operations"/>
    <n v="7730"/>
    <s v="Cheque"/>
    <s v="Yes"/>
    <n v="10127"/>
    <n v="2397"/>
    <s v="HardwarePro"/>
    <s v="INV-23278"/>
    <s v="2026"/>
  </r>
  <r>
    <x v="97"/>
    <s v="Operations"/>
    <x v="2"/>
    <s v="Office Supplies expense - Operations"/>
    <n v="6512"/>
    <s v="Cash"/>
    <s v="Yes"/>
    <n v="9195"/>
    <n v="2683"/>
    <s v="PrintZone"/>
    <s v="INV-32417"/>
    <s v="2026"/>
  </r>
  <r>
    <x v="98"/>
    <s v="Operations"/>
    <x v="2"/>
    <s v="Office Supplies expense - Operations"/>
    <n v="3347"/>
    <s v="Cash"/>
    <s v="Yes"/>
    <n v="4413"/>
    <n v="1066"/>
    <s v="QuickTravel"/>
    <s v="INV-34258"/>
    <s v="2026"/>
  </r>
  <r>
    <x v="99"/>
    <s v="Operations"/>
    <x v="3"/>
    <s v="Consulting expense - Operations"/>
    <n v="90038"/>
    <s v="Bank Transfer"/>
    <s v="Yes"/>
    <n v="128420"/>
    <n v="38382"/>
    <s v="PowerGrid Co"/>
    <s v="INV-99318"/>
    <s v="2026"/>
  </r>
  <r>
    <x v="100"/>
    <s v="Operations"/>
    <x v="0"/>
    <s v="Software expense - Operations"/>
    <n v="12921"/>
    <s v="Bank Transfer"/>
    <s v="Yes"/>
    <n v="14131"/>
    <n v="1210"/>
    <s v="Strategy Consultants"/>
    <s v="INV-66088"/>
    <s v="2026"/>
  </r>
  <r>
    <x v="101"/>
    <s v="Engineering"/>
    <x v="6"/>
    <s v="Travel expense - Engineering"/>
    <n v="28267"/>
    <s v="Bank Transfer"/>
    <s v="Yes"/>
    <n v="42038"/>
    <n v="13771"/>
    <s v="AdPro Media"/>
    <s v="INV-56156"/>
    <s v="2026"/>
  </r>
  <r>
    <x v="102"/>
    <s v="Engineering"/>
    <x v="3"/>
    <s v="Consulting expense - Engineering"/>
    <n v="162871"/>
    <s v="Bank Transfer"/>
    <s v="Yes"/>
    <n v="162953"/>
    <n v="82"/>
    <s v="QuickTravel"/>
    <s v="INV-15921"/>
    <s v="2026"/>
  </r>
  <r>
    <x v="103"/>
    <s v="Engineering"/>
    <x v="6"/>
    <s v="Travel expense - Engineering"/>
    <n v="79352"/>
    <s v="Bank Transfer"/>
    <s v="No"/>
    <n v="106334"/>
    <n v="26982"/>
    <s v="GlobalTravel"/>
    <s v="INV-31928"/>
    <s v="2026"/>
  </r>
  <r>
    <x v="104"/>
    <s v="Engineering"/>
    <x v="1"/>
    <s v="Marketing expense - Engineering"/>
    <n v="34617"/>
    <s v="Cash"/>
    <s v="Yes"/>
    <n v="36348"/>
    <n v="1731"/>
    <s v="Strategy Consultants"/>
    <s v="INV-55977"/>
    <s v="2026"/>
  </r>
  <r>
    <x v="105"/>
    <s v="Engineering"/>
    <x v="7"/>
    <s v="Training expense - Engineering"/>
    <n v="24738"/>
    <s v="Cheque"/>
    <s v="Yes"/>
    <n v="30755"/>
    <n v="6017"/>
    <s v="PowerGrid Co"/>
    <s v="INV-49470"/>
    <s v="2026"/>
  </r>
  <r>
    <x v="106"/>
    <s v="Marketing"/>
    <x v="5"/>
    <s v="Utilities expense - Marketing"/>
    <n v="9484"/>
    <s v="Cheque"/>
    <s v="Yes"/>
    <n v="13157"/>
    <n v="3673"/>
    <s v="SkillUp Academy"/>
    <s v="INV-99887"/>
    <s v="2026"/>
  </r>
  <r>
    <x v="107"/>
    <s v="Marketing"/>
    <x v="6"/>
    <s v="Travel expense - Marketing"/>
    <n v="24385"/>
    <s v="Bank Transfer"/>
    <s v="Yes"/>
    <n v="36317"/>
    <n v="11932"/>
    <s v="PowerGrid Co"/>
    <s v="INV-75251"/>
    <s v="2026"/>
  </r>
  <r>
    <x v="108"/>
    <s v="Marketing"/>
    <x v="6"/>
    <s v="Travel expense - Marketing"/>
    <n v="37029"/>
    <s v="Cheque"/>
    <s v="Yes"/>
    <n v="47723"/>
    <n v="10694"/>
    <s v="PrintZone"/>
    <s v="INV-21701"/>
    <s v="2026"/>
  </r>
  <r>
    <x v="109"/>
    <s v="Marketing"/>
    <x v="2"/>
    <s v="Office Supplies expense - Marketing"/>
    <n v="3594"/>
    <s v="Cheque"/>
    <s v="No"/>
    <n v="4742"/>
    <n v="1148"/>
    <s v="CloudSoft"/>
    <s v="INV-44774"/>
    <s v="2026"/>
  </r>
  <r>
    <x v="110"/>
    <s v="Marketing"/>
    <x v="5"/>
    <s v="Utilities expense - Marketing"/>
    <n v="6426"/>
    <s v="Cash"/>
    <s v="Yes"/>
    <n v="7682"/>
    <n v="1256"/>
    <s v="PrintZone"/>
    <s v="INV-15387"/>
    <s v="2026"/>
  </r>
  <r>
    <x v="111"/>
    <s v="Marketing"/>
    <x v="5"/>
    <s v="Utilities expense - Marketing"/>
    <n v="14667"/>
    <s v="Cheque"/>
    <s v="No"/>
    <n v="19158"/>
    <n v="4491"/>
    <s v="PowerGrid Co"/>
    <s v="INV-47802"/>
    <s v="2026"/>
  </r>
  <r>
    <x v="112"/>
    <s v="Marketing"/>
    <x v="0"/>
    <s v="Software expense - Marketing"/>
    <n v="2546"/>
    <s v="Bank Transfer"/>
    <s v="Yes"/>
    <n v="3181"/>
    <n v="635"/>
    <s v="CloudSoft"/>
    <s v="INV-78575"/>
    <s v="2026"/>
  </r>
  <r>
    <x v="113"/>
    <s v="Marketing"/>
    <x v="7"/>
    <s v="Training expense - Marketing"/>
    <n v="23440"/>
    <s v="Cash"/>
    <s v="Yes"/>
    <n v="29981"/>
    <n v="6541"/>
    <s v="SkillUp Academy"/>
    <s v="INV-18469"/>
    <s v="2026"/>
  </r>
  <r>
    <x v="114"/>
    <s v="Sales"/>
    <x v="6"/>
    <s v="Travel expense - Sales"/>
    <n v="64488"/>
    <s v="Credit Card"/>
    <s v="Yes"/>
    <n v="65808"/>
    <n v="1320"/>
    <s v="Strategy Consultants"/>
    <s v="INV-50084"/>
    <s v="2026"/>
  </r>
  <r>
    <x v="115"/>
    <s v="Sales"/>
    <x v="6"/>
    <s v="Travel expense - Sales"/>
    <n v="61403"/>
    <s v="Credit Card"/>
    <s v="Yes"/>
    <n v="72218"/>
    <n v="10815"/>
    <s v="SkillUp Academy"/>
    <s v="INV-28051"/>
    <s v="2026"/>
  </r>
  <r>
    <x v="116"/>
    <s v="Sales"/>
    <x v="5"/>
    <s v="Utilities expense - Sales"/>
    <n v="5641"/>
    <s v="Bank Transfer"/>
    <s v="Yes"/>
    <n v="7856"/>
    <n v="2215"/>
    <s v="SkillUp Academy"/>
    <s v="INV-28696"/>
    <s v="2026"/>
  </r>
  <r>
    <x v="117"/>
    <s v="Sales"/>
    <x v="2"/>
    <s v="Office Supplies expense - Sales"/>
    <n v="4039"/>
    <s v="Cash"/>
    <s v="Yes"/>
    <n v="5221"/>
    <n v="1182"/>
    <s v="TechMart India"/>
    <s v="INV-72020"/>
    <s v="2026"/>
  </r>
  <r>
    <x v="118"/>
    <s v="Sales"/>
    <x v="5"/>
    <s v="Utilities expense - Sales"/>
    <n v="5075"/>
    <s v="Cheque"/>
    <s v="Yes"/>
    <n v="7135"/>
    <n v="2060"/>
    <s v="HardwarePro"/>
    <s v="INV-22863"/>
    <s v="2026"/>
  </r>
  <r>
    <x v="119"/>
    <s v="HR"/>
    <x v="7"/>
    <s v="Training expense - HR"/>
    <n v="22563"/>
    <s v="Cheque"/>
    <s v="Yes"/>
    <n v="26069"/>
    <n v="3506"/>
    <s v="AdPro Media"/>
    <s v="INV-28242"/>
    <s v="2026"/>
  </r>
  <r>
    <x v="120"/>
    <s v="HR"/>
    <x v="2"/>
    <s v="Office Supplies expense - HR"/>
    <n v="2548"/>
    <s v="Bank Transfer"/>
    <s v="Yes"/>
    <n v="2721"/>
    <n v="173"/>
    <s v="SkillUp Academy"/>
    <s v="INV-21219"/>
    <s v="2026"/>
  </r>
  <r>
    <x v="121"/>
    <s v="HR"/>
    <x v="7"/>
    <s v="Training expense - HR"/>
    <n v="21568"/>
    <s v="Bank Transfer"/>
    <s v="Yes"/>
    <n v="31566"/>
    <n v="9998"/>
    <s v="HardwarePro"/>
    <s v="INV-22588"/>
    <s v="2026"/>
  </r>
  <r>
    <x v="122"/>
    <s v="HR"/>
    <x v="1"/>
    <s v="Marketing expense - HR"/>
    <n v="148037"/>
    <s v="Cash"/>
    <s v="Yes"/>
    <n v="180746"/>
    <n v="32709"/>
    <s v="PowerGrid Co"/>
    <s v="INV-66055"/>
    <s v="2026"/>
  </r>
  <r>
    <x v="123"/>
    <s v="HR"/>
    <x v="3"/>
    <s v="Consulting expense - HR"/>
    <n v="120233"/>
    <s v="Credit Card"/>
    <s v="No"/>
    <n v="178032"/>
    <n v="57799"/>
    <s v="TechMart India"/>
    <s v="INV-65170"/>
    <s v="2026"/>
  </r>
  <r>
    <x v="124"/>
    <s v="Finance"/>
    <x v="1"/>
    <s v="Marketing expense - Finance"/>
    <n v="89269"/>
    <s v="Cash"/>
    <s v="Yes"/>
    <n v="124380"/>
    <n v="35111"/>
    <s v="AdPro Media"/>
    <s v="INV-81207"/>
    <s v="2026"/>
  </r>
  <r>
    <x v="125"/>
    <s v="Finance"/>
    <x v="7"/>
    <s v="Training expense - Finance"/>
    <n v="4754"/>
    <s v="Bank Transfer"/>
    <s v="Yes"/>
    <n v="6549"/>
    <n v="1795"/>
    <s v="TechMart India"/>
    <s v="INV-70661"/>
    <s v="2026"/>
  </r>
  <r>
    <x v="126"/>
    <s v="Finance"/>
    <x v="3"/>
    <s v="Consulting expense - Finance"/>
    <n v="24246"/>
    <s v="Credit Card"/>
    <s v="Yes"/>
    <n v="25272"/>
    <n v="1026"/>
    <s v="AdPro Media"/>
    <s v="INV-22766"/>
    <s v="2026"/>
  </r>
  <r>
    <x v="127"/>
    <s v="Operations"/>
    <x v="3"/>
    <s v="Consulting expense - Operations"/>
    <n v="191034"/>
    <s v="Credit Card"/>
    <s v="No"/>
    <n v="222680"/>
    <n v="31646"/>
    <s v="GlobalTravel"/>
    <s v="INV-16949"/>
    <s v="2026"/>
  </r>
  <r>
    <x v="128"/>
    <s v="Operations"/>
    <x v="2"/>
    <s v="Office Supplies expense - Operations"/>
    <n v="4729"/>
    <s v="Cheque"/>
    <s v="Yes"/>
    <n v="5070"/>
    <n v="341"/>
    <s v="PrintZone"/>
    <s v="INV-98562"/>
    <s v="2026"/>
  </r>
  <r>
    <x v="129"/>
    <s v="Operations"/>
    <x v="1"/>
    <s v="Marketing expense - Operations"/>
    <n v="88877"/>
    <s v="Credit Card"/>
    <s v="Yes"/>
    <n v="116795"/>
    <n v="27918"/>
    <s v="AdPro Media"/>
    <s v="INV-36306"/>
    <s v="2026"/>
  </r>
  <r>
    <x v="130"/>
    <s v="Operations"/>
    <x v="0"/>
    <s v="Software expense - Operations"/>
    <n v="6400"/>
    <s v="Credit Card"/>
    <s v="No"/>
    <n v="6400"/>
    <n v="0"/>
    <s v="QuickTravel"/>
    <s v="INV-42401"/>
    <s v="2026"/>
  </r>
  <r>
    <x v="131"/>
    <s v="Operations"/>
    <x v="2"/>
    <s v="Office Supplies expense - Operations"/>
    <n v="1348"/>
    <s v="Cheque"/>
    <s v="Yes"/>
    <n v="1667"/>
    <n v="319"/>
    <s v="TechMart India"/>
    <s v="INV-25966"/>
    <s v="2026"/>
  </r>
  <r>
    <x v="132"/>
    <s v="Engineering"/>
    <x v="4"/>
    <s v="Equipment expense - Engineering"/>
    <n v="68402"/>
    <s v="Bank Transfer"/>
    <s v="No"/>
    <n v="102011"/>
    <n v="33609"/>
    <s v="SkillUp Academy"/>
    <s v="INV-90315"/>
    <s v="2026"/>
  </r>
  <r>
    <x v="133"/>
    <s v="Engineering"/>
    <x v="3"/>
    <s v="Consulting expense - Engineering"/>
    <n v="182532"/>
    <s v="Bank Transfer"/>
    <s v="Yes"/>
    <n v="238858"/>
    <n v="56326"/>
    <s v="CloudSoft"/>
    <s v="INV-28571"/>
    <s v="2026"/>
  </r>
  <r>
    <x v="134"/>
    <s v="Engineering"/>
    <x v="2"/>
    <s v="Office Supplies expense - Engineering"/>
    <n v="1898"/>
    <s v="Bank Transfer"/>
    <s v="Yes"/>
    <n v="2383"/>
    <n v="485"/>
    <s v="Strategy Consultants"/>
    <s v="INV-48015"/>
    <s v="2026"/>
  </r>
  <r>
    <x v="135"/>
    <s v="Engineering"/>
    <x v="7"/>
    <s v="Training expense - Engineering"/>
    <n v="24873"/>
    <s v="Cheque"/>
    <s v="Yes"/>
    <n v="26117"/>
    <n v="1244"/>
    <s v="SkillUp Academy"/>
    <s v="INV-61273"/>
    <s v="2026"/>
  </r>
  <r>
    <x v="136"/>
    <s v="Engineering"/>
    <x v="4"/>
    <s v="Equipment expense - Engineering"/>
    <n v="96442"/>
    <s v="Cheque"/>
    <s v="Yes"/>
    <n v="135012"/>
    <n v="38570"/>
    <s v="CloudSoft"/>
    <s v="INV-13666"/>
    <s v="2026"/>
  </r>
  <r>
    <x v="137"/>
    <s v="Marketing"/>
    <x v="3"/>
    <s v="Consulting expense - Marketing"/>
    <n v="41490"/>
    <s v="Cash"/>
    <s v="Yes"/>
    <n v="53195"/>
    <n v="11705"/>
    <s v="AdPro Media"/>
    <s v="INV-68258"/>
    <s v="2026"/>
  </r>
  <r>
    <x v="138"/>
    <s v="Marketing"/>
    <x v="6"/>
    <s v="Travel expense - Marketing"/>
    <n v="51494"/>
    <s v="Cheque"/>
    <s v="Yes"/>
    <n v="76283"/>
    <n v="24789"/>
    <s v="TechMart India"/>
    <s v="INV-30750"/>
    <s v="2026"/>
  </r>
  <r>
    <x v="139"/>
    <s v="Marketing"/>
    <x v="5"/>
    <s v="Utilities expense - Marketing"/>
    <n v="9202"/>
    <s v="Bank Transfer"/>
    <s v="Yes"/>
    <n v="13140"/>
    <n v="3938"/>
    <s v="GlobalTravel"/>
    <s v="INV-61199"/>
    <s v="2026"/>
  </r>
  <r>
    <x v="140"/>
    <s v="Marketing"/>
    <x v="0"/>
    <s v="Software expense - Marketing"/>
    <n v="13435"/>
    <s v="Cash"/>
    <s v="Yes"/>
    <n v="17841"/>
    <n v="4406"/>
    <s v="CloudSoft"/>
    <s v="INV-46482"/>
    <s v="2026"/>
  </r>
  <r>
    <x v="141"/>
    <s v="Marketing"/>
    <x v="7"/>
    <s v="Training expense - Marketing"/>
    <n v="15908"/>
    <s v="Cheque"/>
    <s v="Yes"/>
    <n v="16451"/>
    <n v="543"/>
    <s v="Strategy Consultants"/>
    <s v="INV-89408"/>
    <s v="2026"/>
  </r>
  <r>
    <x v="142"/>
    <s v="Sales"/>
    <x v="1"/>
    <s v="Marketing expense - Sales"/>
    <n v="142901"/>
    <s v="Cash"/>
    <s v="Yes"/>
    <n v="198304"/>
    <n v="55403"/>
    <s v="PowerGrid Co"/>
    <s v="INV-87182"/>
    <s v="2026"/>
  </r>
  <r>
    <x v="143"/>
    <s v="Sales"/>
    <x v="5"/>
    <s v="Utilities expense - Sales"/>
    <n v="10576"/>
    <s v="Credit Card"/>
    <s v="Yes"/>
    <n v="13841"/>
    <n v="3265"/>
    <s v="TechMart India"/>
    <s v="INV-30863"/>
    <s v="2026"/>
  </r>
  <r>
    <x v="144"/>
    <s v="Sales"/>
    <x v="2"/>
    <s v="Office Supplies expense - Sales"/>
    <n v="1290"/>
    <s v="Cheque"/>
    <s v="Yes"/>
    <n v="1719"/>
    <n v="429"/>
    <s v="PrintZone"/>
    <s v="INV-41013"/>
    <s v="2026"/>
  </r>
  <r>
    <x v="145"/>
    <s v="Sales"/>
    <x v="0"/>
    <s v="Software expense - Sales"/>
    <n v="13403"/>
    <s v="Cheque"/>
    <s v="Yes"/>
    <n v="18283"/>
    <n v="4880"/>
    <s v="TechMart India"/>
    <s v="INV-90203"/>
    <s v="2026"/>
  </r>
  <r>
    <x v="146"/>
    <s v="Sales"/>
    <x v="7"/>
    <s v="Training expense - Sales"/>
    <n v="6751"/>
    <s v="Credit Card"/>
    <s v="Yes"/>
    <n v="6877"/>
    <n v="126"/>
    <s v="PowerGrid Co"/>
    <s v="INV-89499"/>
    <s v="2026"/>
  </r>
  <r>
    <x v="147"/>
    <s v="Sales"/>
    <x v="6"/>
    <s v="Travel expense - Sales"/>
    <n v="27815"/>
    <s v="Cheque"/>
    <s v="Yes"/>
    <n v="32282"/>
    <n v="4467"/>
    <s v="CloudSoft"/>
    <s v="INV-93544"/>
    <s v="2026"/>
  </r>
  <r>
    <x v="148"/>
    <s v="Sales"/>
    <x v="2"/>
    <s v="Office Supplies expense - Sales"/>
    <n v="2103"/>
    <s v="Cash"/>
    <s v="Yes"/>
    <n v="2368"/>
    <n v="265"/>
    <s v="PrintZone"/>
    <s v="INV-31245"/>
    <s v="2026"/>
  </r>
  <r>
    <x v="149"/>
    <s v="Sales"/>
    <x v="4"/>
    <s v="Equipment expense - Sales"/>
    <n v="111671"/>
    <s v="Bank Transfer"/>
    <s v="Yes"/>
    <n v="141182"/>
    <n v="29511"/>
    <s v="AdPro Media"/>
    <s v="INV-13177"/>
    <s v="2026"/>
  </r>
  <r>
    <x v="150"/>
    <s v="HR"/>
    <x v="0"/>
    <s v="Software expense - HR"/>
    <n v="15339"/>
    <s v="Credit Card"/>
    <s v="Yes"/>
    <n v="15594"/>
    <n v="255"/>
    <s v="HardwarePro"/>
    <s v="INV-84487"/>
    <s v="2026"/>
  </r>
  <r>
    <x v="151"/>
    <s v="HR"/>
    <x v="0"/>
    <s v="Software expense - HR"/>
    <n v="24328"/>
    <s v="Cheque"/>
    <s v="Yes"/>
    <n v="26582"/>
    <n v="2254"/>
    <s v="PrintZone"/>
    <s v="INV-84759"/>
    <s v="2026"/>
  </r>
  <r>
    <x v="152"/>
    <s v="HR"/>
    <x v="3"/>
    <s v="Consulting expense - HR"/>
    <n v="141294"/>
    <s v="Bank Transfer"/>
    <s v="Yes"/>
    <n v="166169"/>
    <n v="24875"/>
    <s v="Strategy Consultants"/>
    <s v="INV-66034"/>
    <s v="2026"/>
  </r>
  <r>
    <x v="153"/>
    <s v="HR"/>
    <x v="4"/>
    <s v="Equipment expense - HR"/>
    <n v="119553"/>
    <s v="Bank Transfer"/>
    <s v="No"/>
    <n v="123789"/>
    <n v="4236"/>
    <s v="SkillUp Academy"/>
    <s v="INV-23226"/>
    <s v="2026"/>
  </r>
  <r>
    <x v="154"/>
    <s v="HR"/>
    <x v="0"/>
    <s v="Software expense - HR"/>
    <n v="34683"/>
    <s v="Cash"/>
    <s v="Yes"/>
    <n v="38681"/>
    <n v="3998"/>
    <s v="PrintZone"/>
    <s v="INV-47997"/>
    <s v="2026"/>
  </r>
  <r>
    <x v="155"/>
    <s v="HR"/>
    <x v="7"/>
    <s v="Training expense - HR"/>
    <n v="15793"/>
    <s v="Bank Transfer"/>
    <s v="Yes"/>
    <n v="21346"/>
    <n v="5553"/>
    <s v="QuickTravel"/>
    <s v="INV-80047"/>
    <s v="2026"/>
  </r>
  <r>
    <x v="156"/>
    <s v="HR"/>
    <x v="2"/>
    <s v="Office Supplies expense - HR"/>
    <n v="7489"/>
    <s v="Cash"/>
    <s v="Yes"/>
    <n v="9428"/>
    <n v="1939"/>
    <s v="AdPro Media"/>
    <s v="INV-17424"/>
    <s v="2026"/>
  </r>
  <r>
    <x v="157"/>
    <s v="HR"/>
    <x v="0"/>
    <s v="Software expense - HR"/>
    <n v="40192"/>
    <s v="Credit Card"/>
    <s v="Yes"/>
    <n v="49657"/>
    <n v="9465"/>
    <s v="PowerGrid Co"/>
    <s v="INV-65234"/>
    <s v="2026"/>
  </r>
  <r>
    <x v="158"/>
    <s v="Finance"/>
    <x v="2"/>
    <s v="Office Supplies expense - Finance"/>
    <n v="3240"/>
    <s v="Bank Transfer"/>
    <s v="Yes"/>
    <n v="4679"/>
    <n v="1439"/>
    <s v="GlobalTravel"/>
    <s v="INV-53202"/>
    <s v="2026"/>
  </r>
  <r>
    <x v="159"/>
    <s v="Finance"/>
    <x v="6"/>
    <s v="Travel expense - Finance"/>
    <n v="35882"/>
    <s v="Credit Card"/>
    <s v="Yes"/>
    <n v="44737"/>
    <n v="8855"/>
    <s v="QuickTravel"/>
    <s v="INV-64557"/>
    <s v="2026"/>
  </r>
  <r>
    <x v="160"/>
    <s v="Finance"/>
    <x v="0"/>
    <s v="Software expense - Finance"/>
    <n v="38138"/>
    <s v="Cash"/>
    <s v="Yes"/>
    <n v="47268"/>
    <n v="9130"/>
    <s v="QuickTravel"/>
    <s v="INV-14666"/>
    <s v="2026"/>
  </r>
  <r>
    <x v="161"/>
    <s v="Finance"/>
    <x v="3"/>
    <s v="Consulting expense - Finance"/>
    <n v="143065"/>
    <s v="Cheque"/>
    <s v="Yes"/>
    <n v="159177"/>
    <n v="16112"/>
    <s v="SkillUp Academy"/>
    <s v="INV-39852"/>
    <s v="2026"/>
  </r>
  <r>
    <x v="162"/>
    <s v="Finance"/>
    <x v="6"/>
    <s v="Travel expense - Finance"/>
    <n v="12255"/>
    <s v="Bank Transfer"/>
    <s v="No"/>
    <n v="12416"/>
    <n v="161"/>
    <s v="AdPro Media"/>
    <s v="INV-59727"/>
    <s v="2026"/>
  </r>
  <r>
    <x v="163"/>
    <s v="Operations"/>
    <x v="6"/>
    <s v="Travel expense - Operations"/>
    <n v="77416"/>
    <s v="Cheque"/>
    <s v="Yes"/>
    <n v="96080"/>
    <n v="18664"/>
    <s v="HardwarePro"/>
    <s v="INV-65945"/>
    <s v="2026"/>
  </r>
  <r>
    <x v="164"/>
    <s v="Operations"/>
    <x v="1"/>
    <s v="Marketing expense - Operations"/>
    <n v="40299"/>
    <s v="Cash"/>
    <s v="Yes"/>
    <n v="49124"/>
    <n v="8825"/>
    <s v="PrintZone"/>
    <s v="INV-54974"/>
    <s v="2026"/>
  </r>
  <r>
    <x v="165"/>
    <s v="Operations"/>
    <x v="4"/>
    <s v="Equipment expense - Operations"/>
    <n v="12592"/>
    <s v="Credit Card"/>
    <s v="Yes"/>
    <n v="14092"/>
    <n v="1500"/>
    <s v="HardwarePro"/>
    <s v="INV-80283"/>
    <s v="2026"/>
  </r>
  <r>
    <x v="166"/>
    <s v="Operations"/>
    <x v="6"/>
    <s v="Travel expense - Operations"/>
    <n v="6952"/>
    <s v="Credit Card"/>
    <s v="Yes"/>
    <n v="9987"/>
    <n v="3035"/>
    <s v="TechMart India"/>
    <s v="INV-26608"/>
    <s v="2026"/>
  </r>
  <r>
    <x v="167"/>
    <s v="Operations"/>
    <x v="3"/>
    <s v="Consulting expense - Operations"/>
    <n v="57341"/>
    <s v="Cash"/>
    <s v="No"/>
    <n v="65443"/>
    <n v="8102"/>
    <s v="PrintZone"/>
    <s v="INV-48327"/>
    <s v="2026"/>
  </r>
  <r>
    <x v="168"/>
    <s v="Operations"/>
    <x v="1"/>
    <s v="Marketing expense - Operations"/>
    <n v="114285"/>
    <s v="Credit Card"/>
    <s v="Yes"/>
    <n v="141639"/>
    <n v="27354"/>
    <s v="SkillUp Academy"/>
    <s v="INV-81256"/>
    <s v="2026"/>
  </r>
  <r>
    <x v="169"/>
    <s v="Operations"/>
    <x v="2"/>
    <s v="Office Supplies expense - Operations"/>
    <n v="4554"/>
    <s v="Cash"/>
    <s v="Yes"/>
    <n v="6160"/>
    <n v="1606"/>
    <s v="Strategy Consultants"/>
    <s v="INV-49677"/>
    <s v="2026"/>
  </r>
  <r>
    <x v="170"/>
    <s v="Operations"/>
    <x v="5"/>
    <s v="Utilities expense - Operations"/>
    <n v="13782"/>
    <s v="Bank Transfer"/>
    <s v="No"/>
    <n v="17582"/>
    <n v="3800"/>
    <s v="SkillUp Academy"/>
    <s v="INV-51793"/>
    <s v="2026"/>
  </r>
  <r>
    <x v="171"/>
    <s v="Engineering"/>
    <x v="0"/>
    <s v="Software expense - Engineering"/>
    <n v="5538"/>
    <s v="Cheque"/>
    <s v="Yes"/>
    <n v="6498"/>
    <n v="960"/>
    <s v="QuickTravel"/>
    <s v="INV-36680"/>
    <s v="2026"/>
  </r>
  <r>
    <x v="172"/>
    <s v="Engineering"/>
    <x v="1"/>
    <s v="Marketing expense - Engineering"/>
    <n v="146575"/>
    <s v="Bank Transfer"/>
    <s v="Yes"/>
    <n v="163470"/>
    <n v="16895"/>
    <s v="PowerGrid Co"/>
    <s v="INV-28607"/>
    <s v="2026"/>
  </r>
  <r>
    <x v="173"/>
    <s v="Engineering"/>
    <x v="6"/>
    <s v="Travel expense - Engineering"/>
    <n v="35815"/>
    <s v="Cheque"/>
    <s v="Yes"/>
    <n v="48321"/>
    <n v="12506"/>
    <s v="TechMart India"/>
    <s v="INV-75392"/>
    <s v="2026"/>
  </r>
  <r>
    <x v="174"/>
    <s v="Engineering"/>
    <x v="6"/>
    <s v="Travel expense - Engineering"/>
    <n v="40428"/>
    <s v="Cash"/>
    <s v="Yes"/>
    <n v="46047"/>
    <n v="5619"/>
    <s v="TechMart India"/>
    <s v="INV-46581"/>
    <s v="2026"/>
  </r>
  <r>
    <x v="175"/>
    <s v="Engineering"/>
    <x v="4"/>
    <s v="Equipment expense - Engineering"/>
    <n v="69927"/>
    <s v="Cheque"/>
    <s v="Yes"/>
    <n v="70586"/>
    <n v="659"/>
    <s v="TechMart India"/>
    <s v="INV-39418"/>
    <s v="2026"/>
  </r>
  <r>
    <x v="176"/>
    <s v="Engineering"/>
    <x v="2"/>
    <s v="Office Supplies expense - Engineering"/>
    <n v="3607"/>
    <s v="Credit Card"/>
    <s v="Yes"/>
    <n v="3940"/>
    <n v="333"/>
    <s v="TechMart India"/>
    <s v="INV-80981"/>
    <s v="2026"/>
  </r>
  <r>
    <x v="177"/>
    <s v="Engineering"/>
    <x v="5"/>
    <s v="Utilities expense - Engineering"/>
    <n v="1425"/>
    <s v="Cash"/>
    <s v="Yes"/>
    <n v="2073"/>
    <n v="648"/>
    <s v="AdPro Media"/>
    <s v="INV-38382"/>
    <s v="2026"/>
  </r>
  <r>
    <x v="178"/>
    <s v="Engineering"/>
    <x v="6"/>
    <s v="Travel expense - Engineering"/>
    <n v="49688"/>
    <s v="Cheque"/>
    <s v="Yes"/>
    <n v="67719"/>
    <n v="18031"/>
    <s v="TechMart India"/>
    <s v="INV-24314"/>
    <s v="2026"/>
  </r>
  <r>
    <x v="179"/>
    <s v="Marketing"/>
    <x v="4"/>
    <s v="Equipment expense - Marketing"/>
    <n v="99541"/>
    <s v="Cheque"/>
    <s v="Yes"/>
    <n v="145951"/>
    <n v="46410"/>
    <s v="AdPro Media"/>
    <s v="INV-84488"/>
    <s v="2024"/>
  </r>
  <r>
    <x v="180"/>
    <s v="Marketing"/>
    <x v="7"/>
    <s v="Training expense - Marketing"/>
    <n v="8326"/>
    <s v="Bank Transfer"/>
    <s v="Yes"/>
    <n v="12324"/>
    <n v="3998"/>
    <s v="TechMart India"/>
    <s v="INV-46791"/>
    <s v="2024"/>
  </r>
  <r>
    <x v="181"/>
    <s v="Marketing"/>
    <x v="7"/>
    <s v="Training expense - Marketing"/>
    <n v="5802"/>
    <s v="Cash"/>
    <s v="Yes"/>
    <n v="8700"/>
    <n v="2898"/>
    <s v="AdPro Media"/>
    <s v="INV-61721"/>
    <s v="2024"/>
  </r>
  <r>
    <x v="182"/>
    <s v="Marketing"/>
    <x v="6"/>
    <s v="Travel expense - Marketing"/>
    <n v="40949"/>
    <s v="Cash"/>
    <s v="No"/>
    <n v="48355"/>
    <n v="7406"/>
    <s v="TechMart India"/>
    <s v="INV-26293"/>
    <s v="2024"/>
  </r>
  <r>
    <x v="183"/>
    <s v="Marketing"/>
    <x v="7"/>
    <s v="Training expense - Marketing"/>
    <n v="21626"/>
    <s v="Cash"/>
    <s v="Yes"/>
    <n v="28771"/>
    <n v="7145"/>
    <s v="Strategy Consultants"/>
    <s v="INV-70650"/>
    <s v="2024"/>
  </r>
  <r>
    <x v="184"/>
    <s v="Marketing"/>
    <x v="6"/>
    <s v="Travel expense - Marketing"/>
    <n v="62659"/>
    <s v="Cash"/>
    <s v="Yes"/>
    <n v="62937"/>
    <n v="278"/>
    <s v="GlobalTravel"/>
    <s v="INV-38553"/>
    <s v="2024"/>
  </r>
  <r>
    <x v="185"/>
    <s v="Marketing"/>
    <x v="4"/>
    <s v="Equipment expense - Marketing"/>
    <n v="12678"/>
    <s v="Cash"/>
    <s v="No"/>
    <n v="16352"/>
    <n v="3674"/>
    <s v="GlobalTravel"/>
    <s v="INV-51160"/>
    <s v="2024"/>
  </r>
  <r>
    <x v="186"/>
    <s v="Sales"/>
    <x v="3"/>
    <s v="Consulting expense - Sales"/>
    <n v="57134"/>
    <s v="Cash"/>
    <s v="Yes"/>
    <n v="64504"/>
    <n v="7370"/>
    <s v="Strategy Consultants"/>
    <s v="INV-26675"/>
    <s v="2024"/>
  </r>
  <r>
    <x v="187"/>
    <s v="Sales"/>
    <x v="2"/>
    <s v="Office Supplies expense - Sales"/>
    <n v="5663"/>
    <s v="Credit Card"/>
    <s v="Yes"/>
    <n v="6157"/>
    <n v="494"/>
    <s v="QuickTravel"/>
    <s v="INV-95799"/>
    <s v="2024"/>
  </r>
  <r>
    <x v="188"/>
    <s v="Sales"/>
    <x v="6"/>
    <s v="Travel expense - Sales"/>
    <n v="29150"/>
    <s v="Cheque"/>
    <s v="No"/>
    <n v="39126"/>
    <n v="9976"/>
    <s v="PowerGrid Co"/>
    <s v="INV-15499"/>
    <s v="2024"/>
  </r>
  <r>
    <x v="189"/>
    <s v="HR"/>
    <x v="2"/>
    <s v="Office Supplies expense - HR"/>
    <n v="998"/>
    <s v="Cash"/>
    <s v="Yes"/>
    <n v="1473"/>
    <n v="475"/>
    <s v="PowerGrid Co"/>
    <s v="INV-80836"/>
    <s v="2024"/>
  </r>
  <r>
    <x v="190"/>
    <s v="HR"/>
    <x v="6"/>
    <s v="Travel expense - HR"/>
    <n v="35762"/>
    <s v="Cheque"/>
    <s v="Yes"/>
    <n v="42016"/>
    <n v="6254"/>
    <s v="GlobalTravel"/>
    <s v="INV-20151"/>
    <s v="2024"/>
  </r>
  <r>
    <x v="191"/>
    <s v="HR"/>
    <x v="2"/>
    <s v="Office Supplies expense - HR"/>
    <n v="2171"/>
    <s v="Cheque"/>
    <s v="Yes"/>
    <n v="2525"/>
    <n v="354"/>
    <s v="HardwarePro"/>
    <s v="INV-47104"/>
    <s v="2024"/>
  </r>
  <r>
    <x v="192"/>
    <s v="HR"/>
    <x v="1"/>
    <s v="Marketing expense - HR"/>
    <n v="16473"/>
    <s v="Cash"/>
    <s v="Yes"/>
    <n v="19163"/>
    <n v="2690"/>
    <s v="HardwarePro"/>
    <s v="INV-95456"/>
    <s v="2024"/>
  </r>
  <r>
    <x v="193"/>
    <s v="HR"/>
    <x v="5"/>
    <s v="Utilities expense - HR"/>
    <n v="8711"/>
    <s v="Credit Card"/>
    <s v="Yes"/>
    <n v="12816"/>
    <n v="4105"/>
    <s v="PowerGrid Co"/>
    <s v="INV-15847"/>
    <s v="2024"/>
  </r>
  <r>
    <x v="194"/>
    <s v="HR"/>
    <x v="7"/>
    <s v="Training expense - HR"/>
    <n v="7917"/>
    <s v="Credit Card"/>
    <s v="No"/>
    <n v="11527"/>
    <n v="3610"/>
    <s v="PrintZone"/>
    <s v="INV-51039"/>
    <s v="2024"/>
  </r>
  <r>
    <x v="195"/>
    <s v="HR"/>
    <x v="5"/>
    <s v="Utilities expense - HR"/>
    <n v="4520"/>
    <s v="Credit Card"/>
    <s v="Yes"/>
    <n v="5376"/>
    <n v="856"/>
    <s v="HardwarePro"/>
    <s v="INV-95093"/>
    <s v="2024"/>
  </r>
  <r>
    <x v="196"/>
    <s v="Finance"/>
    <x v="0"/>
    <s v="Software expense - Finance"/>
    <n v="16718"/>
    <s v="Cheque"/>
    <s v="No"/>
    <n v="21444"/>
    <n v="4726"/>
    <s v="QuickTravel"/>
    <s v="INV-79174"/>
    <s v="2024"/>
  </r>
  <r>
    <x v="197"/>
    <s v="Finance"/>
    <x v="6"/>
    <s v="Travel expense - Finance"/>
    <n v="66909"/>
    <s v="Cheque"/>
    <s v="Yes"/>
    <n v="88962"/>
    <n v="22053"/>
    <s v="SkillUp Academy"/>
    <s v="INV-35562"/>
    <s v="2026"/>
  </r>
  <r>
    <x v="198"/>
    <s v="Finance"/>
    <x v="7"/>
    <s v="Training expense - Finance"/>
    <n v="10996"/>
    <s v="Cash"/>
    <s v="Yes"/>
    <n v="12803"/>
    <n v="1807"/>
    <s v="Strategy Consultants"/>
    <s v="INV-51263"/>
    <s v="2026"/>
  </r>
  <r>
    <x v="199"/>
    <s v="Operations"/>
    <x v="0"/>
    <s v="Software expense - Operations"/>
    <n v="47421"/>
    <s v="Cheque"/>
    <s v="Yes"/>
    <n v="53136"/>
    <n v="5715"/>
    <s v="QuickTravel"/>
    <s v="INV-56135"/>
    <s v="2026"/>
  </r>
  <r>
    <x v="200"/>
    <s v="Operations"/>
    <x v="0"/>
    <s v="Software expense - Operations"/>
    <n v="25743"/>
    <s v="Bank Transfer"/>
    <s v="Yes"/>
    <n v="34152"/>
    <n v="8409"/>
    <s v="HardwarePro"/>
    <s v="INV-40115"/>
    <s v="2026"/>
  </r>
  <r>
    <x v="201"/>
    <s v="Operations"/>
    <x v="1"/>
    <s v="Marketing expense - Operations"/>
    <n v="74210"/>
    <s v="Bank Transfer"/>
    <s v="No"/>
    <n v="103020"/>
    <n v="28810"/>
    <s v="SkillUp Academy"/>
    <s v="INV-47602"/>
    <s v="2026"/>
  </r>
  <r>
    <x v="202"/>
    <s v="Operations"/>
    <x v="5"/>
    <s v="Utilities expense - Operations"/>
    <n v="6142"/>
    <s v="Cheque"/>
    <s v="No"/>
    <n v="6504"/>
    <n v="362"/>
    <s v="CloudSoft"/>
    <s v="INV-85499"/>
    <s v="2026"/>
  </r>
  <r>
    <x v="203"/>
    <s v="Operations"/>
    <x v="3"/>
    <s v="Consulting expense - Operations"/>
    <n v="175840"/>
    <s v="Bank Transfer"/>
    <s v="Yes"/>
    <n v="253336"/>
    <n v="77496"/>
    <s v="TechMart India"/>
    <s v="INV-31859"/>
    <s v="2026"/>
  </r>
  <r>
    <x v="204"/>
    <s v="Operations"/>
    <x v="0"/>
    <s v="Software expense - Operations"/>
    <n v="29435"/>
    <s v="Cheque"/>
    <s v="Yes"/>
    <n v="33311"/>
    <n v="3876"/>
    <s v="CloudSoft"/>
    <s v="INV-14466"/>
    <s v="2026"/>
  </r>
  <r>
    <x v="205"/>
    <s v="Operations"/>
    <x v="4"/>
    <s v="Equipment expense - Operations"/>
    <n v="8136"/>
    <s v="Bank Transfer"/>
    <s v="No"/>
    <n v="10943"/>
    <n v="2807"/>
    <s v="GlobalTravel"/>
    <s v="INV-60870"/>
    <s v="2026"/>
  </r>
  <r>
    <x v="206"/>
    <s v="Operations"/>
    <x v="4"/>
    <s v="Equipment expense - Operations"/>
    <n v="51447"/>
    <s v="Bank Transfer"/>
    <s v="Yes"/>
    <n v="54726"/>
    <n v="3279"/>
    <s v="QuickTravel"/>
    <s v="INV-54146"/>
    <s v="2026"/>
  </r>
  <r>
    <x v="207"/>
    <s v="Engineering"/>
    <x v="0"/>
    <s v="Software expense - Engineering"/>
    <n v="49328"/>
    <s v="Cash"/>
    <s v="Yes"/>
    <n v="50444"/>
    <n v="1116"/>
    <s v="HardwarePro"/>
    <s v="INV-92684"/>
    <s v="2026"/>
  </r>
  <r>
    <x v="208"/>
    <s v="Engineering"/>
    <x v="3"/>
    <s v="Consulting expense - Engineering"/>
    <n v="124213"/>
    <s v="Bank Transfer"/>
    <s v="Yes"/>
    <n v="142180"/>
    <n v="17967"/>
    <s v="AdPro Media"/>
    <s v="INV-76764"/>
    <s v="2026"/>
  </r>
  <r>
    <x v="209"/>
    <s v="Engineering"/>
    <x v="0"/>
    <s v="Software expense - Engineering"/>
    <n v="11978"/>
    <s v="Cash"/>
    <s v="Yes"/>
    <n v="17342"/>
    <n v="5364"/>
    <s v="HardwarePro"/>
    <s v="INV-52000"/>
    <s v="2026"/>
  </r>
  <r>
    <x v="210"/>
    <s v="Engineering"/>
    <x v="3"/>
    <s v="Consulting expense - Engineering"/>
    <n v="56326"/>
    <s v="Cash"/>
    <s v="Yes"/>
    <n v="70652"/>
    <n v="14326"/>
    <s v="PrintZone"/>
    <s v="INV-48974"/>
    <s v="2026"/>
  </r>
  <r>
    <x v="211"/>
    <s v="Engineering"/>
    <x v="3"/>
    <s v="Consulting expense - Engineering"/>
    <n v="99421"/>
    <s v="Cheque"/>
    <s v="Yes"/>
    <n v="101821"/>
    <n v="2400"/>
    <s v="PowerGrid Co"/>
    <s v="INV-60340"/>
    <s v="2026"/>
  </r>
  <r>
    <x v="212"/>
    <s v="Marketing"/>
    <x v="1"/>
    <s v="Marketing expense - Marketing"/>
    <n v="47538"/>
    <s v="Bank Transfer"/>
    <s v="Yes"/>
    <n v="48535"/>
    <n v="997"/>
    <s v="GlobalTravel"/>
    <s v="INV-46471"/>
    <s v="2026"/>
  </r>
  <r>
    <x v="213"/>
    <s v="Marketing"/>
    <x v="5"/>
    <s v="Utilities expense - Marketing"/>
    <n v="2629"/>
    <s v="Credit Card"/>
    <s v="Yes"/>
    <n v="3086"/>
    <n v="457"/>
    <s v="SkillUp Academy"/>
    <s v="INV-73784"/>
    <s v="2026"/>
  </r>
  <r>
    <x v="214"/>
    <s v="Marketing"/>
    <x v="3"/>
    <s v="Consulting expense - Marketing"/>
    <n v="68624"/>
    <s v="Cash"/>
    <s v="No"/>
    <n v="99002"/>
    <n v="30378"/>
    <s v="QuickTravel"/>
    <s v="INV-40366"/>
    <s v="2026"/>
  </r>
  <r>
    <x v="215"/>
    <s v="Marketing"/>
    <x v="7"/>
    <s v="Training expense - Marketing"/>
    <n v="7620"/>
    <s v="Bank Transfer"/>
    <s v="Yes"/>
    <n v="7986"/>
    <n v="366"/>
    <s v="AdPro Media"/>
    <s v="INV-15209"/>
    <s v="2026"/>
  </r>
  <r>
    <x v="216"/>
    <s v="Marketing"/>
    <x v="2"/>
    <s v="Office Supplies expense - Marketing"/>
    <n v="554"/>
    <s v="Credit Card"/>
    <s v="Yes"/>
    <n v="689"/>
    <n v="135"/>
    <s v="PrintZone"/>
    <s v="INV-46941"/>
    <s v="2026"/>
  </r>
  <r>
    <x v="217"/>
    <s v="Sales"/>
    <x v="4"/>
    <s v="Equipment expense - Sales"/>
    <n v="100956"/>
    <s v="Cheque"/>
    <s v="Yes"/>
    <n v="123410"/>
    <n v="22454"/>
    <s v="QuickTravel"/>
    <s v="INV-25720"/>
    <s v="2026"/>
  </r>
  <r>
    <x v="218"/>
    <s v="Sales"/>
    <x v="3"/>
    <s v="Consulting expense - Sales"/>
    <n v="123315"/>
    <s v="Bank Transfer"/>
    <s v="Yes"/>
    <n v="153728"/>
    <n v="30413"/>
    <s v="QuickTravel"/>
    <s v="INV-56362"/>
    <s v="2026"/>
  </r>
  <r>
    <x v="219"/>
    <s v="Sales"/>
    <x v="0"/>
    <s v="Software expense - Sales"/>
    <n v="16577"/>
    <s v="Bank Transfer"/>
    <s v="No"/>
    <n v="22606"/>
    <n v="6029"/>
    <s v="PowerGrid Co"/>
    <s v="INV-46190"/>
    <s v="2026"/>
  </r>
  <r>
    <x v="220"/>
    <s v="Sales"/>
    <x v="3"/>
    <s v="Consulting expense - Sales"/>
    <n v="175314"/>
    <s v="Credit Card"/>
    <s v="Yes"/>
    <n v="239788"/>
    <n v="64474"/>
    <s v="TechMart India"/>
    <s v="INV-66803"/>
    <s v="2026"/>
  </r>
  <r>
    <x v="221"/>
    <s v="Sales"/>
    <x v="0"/>
    <s v="Software expense - Sales"/>
    <n v="48209"/>
    <s v="Bank Transfer"/>
    <s v="No"/>
    <n v="67353"/>
    <n v="19144"/>
    <s v="TechMart India"/>
    <s v="INV-93164"/>
    <s v="2026"/>
  </r>
  <r>
    <x v="222"/>
    <s v="Sales"/>
    <x v="6"/>
    <s v="Travel expense - Sales"/>
    <n v="37232"/>
    <s v="Bank Transfer"/>
    <s v="Yes"/>
    <n v="39780"/>
    <n v="2548"/>
    <s v="SkillUp Academy"/>
    <s v="INV-71618"/>
    <s v="2026"/>
  </r>
  <r>
    <x v="223"/>
    <s v="Sales"/>
    <x v="1"/>
    <s v="Marketing expense - Sales"/>
    <n v="137010"/>
    <s v="Cheque"/>
    <s v="Yes"/>
    <n v="192764"/>
    <n v="55754"/>
    <s v="CloudSoft"/>
    <s v="INV-36027"/>
    <s v="2026"/>
  </r>
  <r>
    <x v="224"/>
    <s v="HR"/>
    <x v="0"/>
    <s v="Software expense - HR"/>
    <n v="35836"/>
    <s v="Bank Transfer"/>
    <s v="Yes"/>
    <n v="51195"/>
    <n v="15359"/>
    <s v="HardwarePro"/>
    <s v="INV-18816"/>
    <s v="2026"/>
  </r>
  <r>
    <x v="225"/>
    <s v="HR"/>
    <x v="3"/>
    <s v="Consulting expense - HR"/>
    <n v="156207"/>
    <s v="Bank Transfer"/>
    <s v="Yes"/>
    <n v="203945"/>
    <n v="47738"/>
    <s v="HardwarePro"/>
    <s v="INV-44481"/>
    <s v="2026"/>
  </r>
  <r>
    <x v="226"/>
    <s v="HR"/>
    <x v="4"/>
    <s v="Equipment expense - HR"/>
    <n v="87709"/>
    <s v="Cash"/>
    <s v="Yes"/>
    <n v="113316"/>
    <n v="25607"/>
    <s v="GlobalTravel"/>
    <s v="INV-96106"/>
    <s v="2026"/>
  </r>
  <r>
    <x v="227"/>
    <s v="HR"/>
    <x v="1"/>
    <s v="Marketing expense - HR"/>
    <n v="88669"/>
    <s v="Cheque"/>
    <s v="Yes"/>
    <n v="125941"/>
    <n v="37272"/>
    <s v="HardwarePro"/>
    <s v="INV-88360"/>
    <s v="2026"/>
  </r>
  <r>
    <x v="228"/>
    <s v="HR"/>
    <x v="5"/>
    <s v="Utilities expense - HR"/>
    <n v="9903"/>
    <s v="Bank Transfer"/>
    <s v="Yes"/>
    <n v="12284"/>
    <n v="2381"/>
    <s v="SkillUp Academy"/>
    <s v="INV-64997"/>
    <s v="2026"/>
  </r>
  <r>
    <x v="229"/>
    <s v="HR"/>
    <x v="3"/>
    <s v="Consulting expense - HR"/>
    <n v="95300"/>
    <s v="Credit Card"/>
    <s v="Yes"/>
    <n v="107088"/>
    <n v="11788"/>
    <s v="Strategy Consultants"/>
    <s v="INV-51799"/>
    <s v="2026"/>
  </r>
  <r>
    <x v="230"/>
    <s v="HR"/>
    <x v="0"/>
    <s v="Software expense - HR"/>
    <n v="24778"/>
    <s v="Bank Transfer"/>
    <s v="Yes"/>
    <n v="33413"/>
    <n v="8635"/>
    <s v="Strategy Consultants"/>
    <s v="INV-88781"/>
    <s v="2026"/>
  </r>
  <r>
    <x v="231"/>
    <s v="HR"/>
    <x v="4"/>
    <s v="Equipment expense - HR"/>
    <n v="95075"/>
    <s v="Cash"/>
    <s v="No"/>
    <n v="106240"/>
    <n v="11165"/>
    <s v="PrintZone"/>
    <s v="INV-63609"/>
    <s v="2026"/>
  </r>
  <r>
    <x v="232"/>
    <s v="Finance"/>
    <x v="5"/>
    <s v="Utilities expense - Finance"/>
    <n v="5286"/>
    <s v="Cheque"/>
    <s v="Yes"/>
    <n v="7070"/>
    <n v="1784"/>
    <s v="HardwarePro"/>
    <s v="INV-62255"/>
    <s v="2026"/>
  </r>
  <r>
    <x v="233"/>
    <s v="Finance"/>
    <x v="7"/>
    <s v="Training expense - Finance"/>
    <n v="4790"/>
    <s v="Bank Transfer"/>
    <s v="Yes"/>
    <n v="5433"/>
    <n v="643"/>
    <s v="TechMart India"/>
    <s v="INV-50437"/>
    <s v="2026"/>
  </r>
  <r>
    <x v="234"/>
    <s v="Finance"/>
    <x v="3"/>
    <s v="Consulting expense - Finance"/>
    <n v="117429"/>
    <s v="Bank Transfer"/>
    <s v="Yes"/>
    <n v="130423"/>
    <n v="12994"/>
    <s v="AdPro Media"/>
    <s v="INV-90052"/>
    <s v="2026"/>
  </r>
  <r>
    <x v="235"/>
    <s v="Operations"/>
    <x v="1"/>
    <s v="Marketing expense - Operations"/>
    <n v="15221"/>
    <s v="Cheque"/>
    <s v="Yes"/>
    <n v="22453"/>
    <n v="7232"/>
    <s v="PowerGrid Co"/>
    <s v="INV-56229"/>
    <s v="2026"/>
  </r>
  <r>
    <x v="236"/>
    <s v="Operations"/>
    <x v="0"/>
    <s v="Software expense - Operations"/>
    <n v="44921"/>
    <s v="Cash"/>
    <s v="No"/>
    <n v="46026"/>
    <n v="1105"/>
    <s v="PrintZone"/>
    <s v="INV-30577"/>
    <s v="2026"/>
  </r>
  <r>
    <x v="237"/>
    <s v="Operations"/>
    <x v="4"/>
    <s v="Equipment expense - Operations"/>
    <n v="117685"/>
    <s v="Bank Transfer"/>
    <s v="Yes"/>
    <n v="159923"/>
    <n v="42238"/>
    <s v="PowerGrid Co"/>
    <s v="INV-64184"/>
    <s v="2026"/>
  </r>
  <r>
    <x v="238"/>
    <s v="Operations"/>
    <x v="2"/>
    <s v="Office Supplies expense - Operations"/>
    <n v="5029"/>
    <s v="Credit Card"/>
    <s v="Yes"/>
    <n v="6873"/>
    <n v="1844"/>
    <s v="GlobalTravel"/>
    <s v="INV-23437"/>
    <s v="2026"/>
  </r>
  <r>
    <x v="239"/>
    <s v="Operations"/>
    <x v="4"/>
    <s v="Equipment expense - Operations"/>
    <n v="108722"/>
    <s v="Cash"/>
    <s v="Yes"/>
    <n v="135082"/>
    <n v="26360"/>
    <s v="TechMart India"/>
    <s v="INV-40147"/>
    <s v="2026"/>
  </r>
  <r>
    <x v="240"/>
    <s v="Engineering"/>
    <x v="2"/>
    <s v="Office Supplies expense - Engineering"/>
    <n v="776"/>
    <s v="Cheque"/>
    <s v="Yes"/>
    <n v="882"/>
    <n v="106"/>
    <s v="CloudSoft"/>
    <s v="INV-45389"/>
    <s v="2026"/>
  </r>
  <r>
    <x v="241"/>
    <s v="Engineering"/>
    <x v="0"/>
    <s v="Software expense - Engineering"/>
    <n v="7015"/>
    <s v="Cheque"/>
    <s v="Yes"/>
    <n v="7274"/>
    <n v="259"/>
    <s v="TechMart India"/>
    <s v="INV-81001"/>
    <s v="2026"/>
  </r>
  <r>
    <x v="242"/>
    <s v="Engineering"/>
    <x v="1"/>
    <s v="Marketing expense - Engineering"/>
    <n v="35049"/>
    <s v="Cheque"/>
    <s v="Yes"/>
    <n v="47945"/>
    <n v="12896"/>
    <s v="AdPro Media"/>
    <s v="INV-50919"/>
    <s v="2026"/>
  </r>
  <r>
    <x v="243"/>
    <s v="Engineering"/>
    <x v="5"/>
    <s v="Utilities expense - Engineering"/>
    <n v="7965"/>
    <s v="Cash"/>
    <s v="Yes"/>
    <n v="10005"/>
    <n v="2040"/>
    <s v="Strategy Consultants"/>
    <s v="INV-36563"/>
    <s v="2026"/>
  </r>
  <r>
    <x v="244"/>
    <s v="Engineering"/>
    <x v="0"/>
    <s v="Software expense - Engineering"/>
    <n v="19319"/>
    <s v="Cheque"/>
    <s v="Yes"/>
    <n v="28682"/>
    <n v="9363"/>
    <s v="SkillUp Academy"/>
    <s v="INV-66299"/>
    <s v="2024"/>
  </r>
  <r>
    <x v="245"/>
    <s v="Engineering"/>
    <x v="0"/>
    <s v="Software expense - Engineering"/>
    <n v="16565"/>
    <s v="Cash"/>
    <s v="Yes"/>
    <n v="24573"/>
    <n v="8008"/>
    <s v="SkillUp Academy"/>
    <s v="INV-79888"/>
    <s v="2024"/>
  </r>
  <r>
    <x v="246"/>
    <s v="Engineering"/>
    <x v="2"/>
    <s v="Office Supplies expense - Engineering"/>
    <n v="3632"/>
    <s v="Cheque"/>
    <s v="Yes"/>
    <n v="3663"/>
    <n v="31"/>
    <s v="GlobalTravel"/>
    <s v="INV-24195"/>
    <s v="2024"/>
  </r>
  <r>
    <x v="247"/>
    <s v="Engineering"/>
    <x v="3"/>
    <s v="Consulting expense - Engineering"/>
    <n v="68736"/>
    <s v="Cheque"/>
    <s v="Yes"/>
    <n v="88597"/>
    <n v="19861"/>
    <s v="Strategy Consultants"/>
    <s v="INV-58473"/>
    <s v="2024"/>
  </r>
  <r>
    <x v="248"/>
    <s v="Marketing"/>
    <x v="0"/>
    <s v="Software expense - Marketing"/>
    <n v="44127"/>
    <s v="Credit Card"/>
    <s v="Yes"/>
    <n v="50980"/>
    <n v="6853"/>
    <s v="GlobalTravel"/>
    <s v="INV-32184"/>
    <s v="2024"/>
  </r>
  <r>
    <x v="249"/>
    <s v="Marketing"/>
    <x v="2"/>
    <s v="Office Supplies expense - Marketing"/>
    <n v="7584"/>
    <s v="Bank Transfer"/>
    <s v="Yes"/>
    <n v="11156"/>
    <n v="3572"/>
    <s v="CloudSoft"/>
    <s v="INV-62847"/>
    <s v="2024"/>
  </r>
  <r>
    <x v="250"/>
    <s v="Marketing"/>
    <x v="3"/>
    <s v="Consulting expense - Marketing"/>
    <n v="147207"/>
    <s v="Bank Transfer"/>
    <s v="Yes"/>
    <n v="200425"/>
    <n v="53218"/>
    <s v="Strategy Consultants"/>
    <s v="INV-43033"/>
    <s v="2024"/>
  </r>
  <r>
    <x v="251"/>
    <s v="Marketing"/>
    <x v="4"/>
    <s v="Equipment expense - Marketing"/>
    <n v="45823"/>
    <s v="Bank Transfer"/>
    <s v="Yes"/>
    <n v="62789"/>
    <n v="16966"/>
    <s v="PowerGrid Co"/>
    <s v="INV-84096"/>
    <s v="2024"/>
  </r>
  <r>
    <x v="252"/>
    <s v="Marketing"/>
    <x v="4"/>
    <s v="Equipment expense - Marketing"/>
    <n v="119219"/>
    <s v="Bank Transfer"/>
    <s v="No"/>
    <n v="119551"/>
    <n v="332"/>
    <s v="Strategy Consultants"/>
    <s v="INV-81511"/>
    <s v="2024"/>
  </r>
  <r>
    <x v="253"/>
    <s v="Marketing"/>
    <x v="3"/>
    <s v="Consulting expense - Marketing"/>
    <n v="92055"/>
    <s v="Cash"/>
    <s v="Yes"/>
    <n v="136217"/>
    <n v="44162"/>
    <s v="Strategy Consultants"/>
    <s v="INV-77427"/>
    <s v="2024"/>
  </r>
  <r>
    <x v="254"/>
    <s v="Sales"/>
    <x v="0"/>
    <s v="Software expense - Sales"/>
    <n v="8884"/>
    <s v="Cheque"/>
    <s v="Yes"/>
    <n v="10775"/>
    <n v="1891"/>
    <s v="TechMart India"/>
    <s v="INV-31245"/>
    <s v="2024"/>
  </r>
  <r>
    <x v="255"/>
    <s v="Sales"/>
    <x v="0"/>
    <s v="Software expense - Sales"/>
    <n v="12891"/>
    <s v="Credit Card"/>
    <s v="Yes"/>
    <n v="14163"/>
    <n v="1272"/>
    <s v="HardwarePro"/>
    <s v="INV-74904"/>
    <s v="2024"/>
  </r>
  <r>
    <x v="256"/>
    <s v="Sales"/>
    <x v="1"/>
    <s v="Marketing expense - Sales"/>
    <n v="147517"/>
    <s v="Cheque"/>
    <s v="Yes"/>
    <n v="183452"/>
    <n v="35935"/>
    <s v="TechMart India"/>
    <s v="INV-48895"/>
    <s v="2024"/>
  </r>
  <r>
    <x v="257"/>
    <s v="Sales"/>
    <x v="0"/>
    <s v="Software expense - Sales"/>
    <n v="30539"/>
    <s v="Cash"/>
    <s v="No"/>
    <n v="45744"/>
    <n v="15205"/>
    <s v="PowerGrid Co"/>
    <s v="INV-90622"/>
    <s v="2024"/>
  </r>
  <r>
    <x v="258"/>
    <s v="Sales"/>
    <x v="5"/>
    <s v="Utilities expense - Sales"/>
    <n v="10237"/>
    <s v="Cash"/>
    <s v="No"/>
    <n v="13565"/>
    <n v="3328"/>
    <s v="PrintZone"/>
    <s v="INV-90478"/>
    <s v="2024"/>
  </r>
  <r>
    <x v="259"/>
    <s v="Sales"/>
    <x v="5"/>
    <s v="Utilities expense - Sales"/>
    <n v="9509"/>
    <s v="Cheque"/>
    <s v="Yes"/>
    <n v="12383"/>
    <n v="2874"/>
    <s v="PowerGrid Co"/>
    <s v="INV-27739"/>
    <s v="2026"/>
  </r>
  <r>
    <x v="260"/>
    <s v="Sales"/>
    <x v="1"/>
    <s v="Marketing expense - Sales"/>
    <n v="147462"/>
    <s v="Credit Card"/>
    <s v="Yes"/>
    <n v="200186"/>
    <n v="52724"/>
    <s v="HardwarePro"/>
    <s v="INV-33491"/>
    <s v="2026"/>
  </r>
  <r>
    <x v="261"/>
    <s v="HR"/>
    <x v="3"/>
    <s v="Consulting expense - HR"/>
    <n v="27576"/>
    <s v="Cash"/>
    <s v="Yes"/>
    <n v="41272"/>
    <n v="13696"/>
    <s v="PrintZone"/>
    <s v="INV-22300"/>
    <s v="2026"/>
  </r>
  <r>
    <x v="262"/>
    <s v="HR"/>
    <x v="3"/>
    <s v="Consulting expense - HR"/>
    <n v="96778"/>
    <s v="Cheque"/>
    <s v="No"/>
    <n v="101361"/>
    <n v="4583"/>
    <s v="CloudSoft"/>
    <s v="INV-18751"/>
    <s v="2026"/>
  </r>
  <r>
    <x v="263"/>
    <s v="HR"/>
    <x v="5"/>
    <s v="Utilities expense - HR"/>
    <n v="11425"/>
    <s v="Cash"/>
    <s v="Yes"/>
    <n v="14619"/>
    <n v="3194"/>
    <s v="PrintZone"/>
    <s v="INV-45989"/>
    <s v="2026"/>
  </r>
  <r>
    <x v="264"/>
    <s v="HR"/>
    <x v="7"/>
    <s v="Training expense - HR"/>
    <n v="29894"/>
    <s v="Cash"/>
    <s v="Yes"/>
    <n v="43518"/>
    <n v="13624"/>
    <s v="AdPro Media"/>
    <s v="INV-62857"/>
    <s v="2026"/>
  </r>
  <r>
    <x v="265"/>
    <s v="Finance"/>
    <x v="2"/>
    <s v="Office Supplies expense - Finance"/>
    <n v="1134"/>
    <s v="Bank Transfer"/>
    <s v="Yes"/>
    <n v="1470"/>
    <n v="336"/>
    <s v="CloudSoft"/>
    <s v="INV-44463"/>
    <s v="2026"/>
  </r>
  <r>
    <x v="266"/>
    <s v="Finance"/>
    <x v="0"/>
    <s v="Software expense - Finance"/>
    <n v="10303"/>
    <s v="Cheque"/>
    <s v="Yes"/>
    <n v="14408"/>
    <n v="4105"/>
    <s v="AdPro Media"/>
    <s v="INV-87616"/>
    <s v="2026"/>
  </r>
  <r>
    <x v="267"/>
    <s v="Finance"/>
    <x v="7"/>
    <s v="Training expense - Finance"/>
    <n v="29453"/>
    <s v="Cheque"/>
    <s v="Yes"/>
    <n v="40310"/>
    <n v="10857"/>
    <s v="CloudSoft"/>
    <s v="INV-10350"/>
    <s v="2026"/>
  </r>
  <r>
    <x v="268"/>
    <s v="Finance"/>
    <x v="2"/>
    <s v="Office Supplies expense - Finance"/>
    <n v="2273"/>
    <s v="Bank Transfer"/>
    <s v="Yes"/>
    <n v="2377"/>
    <n v="104"/>
    <s v="CloudSoft"/>
    <s v="INV-72320"/>
    <s v="2026"/>
  </r>
  <r>
    <x v="269"/>
    <s v="Finance"/>
    <x v="6"/>
    <s v="Travel expense - Finance"/>
    <n v="47380"/>
    <s v="Bank Transfer"/>
    <s v="No"/>
    <n v="49223"/>
    <n v="1843"/>
    <s v="Strategy Consultants"/>
    <s v="INV-65758"/>
    <s v="2026"/>
  </r>
  <r>
    <x v="270"/>
    <s v="Operations"/>
    <x v="3"/>
    <s v="Consulting expense - Operations"/>
    <n v="95744"/>
    <s v="Credit Card"/>
    <s v="Yes"/>
    <n v="110228"/>
    <n v="14484"/>
    <s v="GlobalTravel"/>
    <s v="INV-61543"/>
    <s v="2026"/>
  </r>
  <r>
    <x v="271"/>
    <s v="Operations"/>
    <x v="4"/>
    <s v="Equipment expense - Operations"/>
    <n v="106439"/>
    <s v="Cash"/>
    <s v="Yes"/>
    <n v="126957"/>
    <n v="20518"/>
    <s v="GlobalTravel"/>
    <s v="INV-51546"/>
    <s v="2026"/>
  </r>
  <r>
    <x v="272"/>
    <s v="Operations"/>
    <x v="0"/>
    <s v="Software expense - Operations"/>
    <n v="41674"/>
    <s v="Cash"/>
    <s v="Yes"/>
    <n v="59223"/>
    <n v="17549"/>
    <s v="HardwarePro"/>
    <s v="INV-83464"/>
    <s v="2026"/>
  </r>
  <r>
    <x v="273"/>
    <s v="Operations"/>
    <x v="3"/>
    <s v="Consulting expense - Operations"/>
    <n v="138475"/>
    <s v="Credit Card"/>
    <s v="No"/>
    <n v="186602"/>
    <n v="48127"/>
    <s v="HardwarePro"/>
    <s v="INV-95471"/>
    <s v="2026"/>
  </r>
  <r>
    <x v="274"/>
    <s v="Operations"/>
    <x v="5"/>
    <s v="Utilities expense - Operations"/>
    <n v="3916"/>
    <s v="Cheque"/>
    <s v="Yes"/>
    <n v="3966"/>
    <n v="50"/>
    <s v="HardwarePro"/>
    <s v="INV-38020"/>
    <s v="2026"/>
  </r>
  <r>
    <x v="275"/>
    <s v="Operations"/>
    <x v="2"/>
    <s v="Office Supplies expense - Operations"/>
    <n v="3633"/>
    <s v="Credit Card"/>
    <s v="Yes"/>
    <n v="4313"/>
    <n v="680"/>
    <s v="Strategy Consultants"/>
    <s v="INV-57315"/>
    <s v="2026"/>
  </r>
  <r>
    <x v="276"/>
    <s v="Operations"/>
    <x v="2"/>
    <s v="Office Supplies expense - Operations"/>
    <n v="545"/>
    <s v="Credit Card"/>
    <s v="Yes"/>
    <n v="705"/>
    <n v="160"/>
    <s v="SkillUp Academy"/>
    <s v="INV-75902"/>
    <s v="2026"/>
  </r>
  <r>
    <x v="277"/>
    <s v="Operations"/>
    <x v="6"/>
    <s v="Travel expense - Operations"/>
    <n v="40786"/>
    <s v="Cheque"/>
    <s v="Yes"/>
    <n v="41470"/>
    <n v="684"/>
    <s v="TechMart India"/>
    <s v="INV-43166"/>
    <s v="2026"/>
  </r>
  <r>
    <x v="278"/>
    <s v="Engineering"/>
    <x v="6"/>
    <s v="Travel expense - Engineering"/>
    <n v="79996"/>
    <s v="Cheque"/>
    <s v="No"/>
    <n v="112927"/>
    <n v="32931"/>
    <s v="Strategy Consultants"/>
    <s v="INV-74264"/>
    <s v="2026"/>
  </r>
  <r>
    <x v="279"/>
    <s v="Engineering"/>
    <x v="1"/>
    <s v="Marketing expense - Engineering"/>
    <n v="134111"/>
    <s v="Credit Card"/>
    <s v="Yes"/>
    <n v="184398"/>
    <n v="50287"/>
    <s v="PowerGrid Co"/>
    <s v="INV-13779"/>
    <s v="2026"/>
  </r>
  <r>
    <x v="280"/>
    <s v="Engineering"/>
    <x v="1"/>
    <s v="Marketing expense - Engineering"/>
    <n v="56375"/>
    <s v="Credit Card"/>
    <s v="Yes"/>
    <n v="80924"/>
    <n v="24549"/>
    <s v="QuickTravel"/>
    <s v="INV-17346"/>
    <s v="2026"/>
  </r>
  <r>
    <x v="281"/>
    <s v="Engineering"/>
    <x v="3"/>
    <s v="Consulting expense - Engineering"/>
    <n v="177111"/>
    <s v="Credit Card"/>
    <s v="No"/>
    <n v="240038"/>
    <n v="62927"/>
    <s v="SkillUp Academy"/>
    <s v="INV-35451"/>
    <s v="2026"/>
  </r>
  <r>
    <x v="282"/>
    <s v="Engineering"/>
    <x v="6"/>
    <s v="Travel expense - Engineering"/>
    <n v="48603"/>
    <s v="Cash"/>
    <s v="Yes"/>
    <n v="68950"/>
    <n v="20347"/>
    <s v="AdPro Media"/>
    <s v="INV-58005"/>
    <s v="2026"/>
  </r>
  <r>
    <x v="283"/>
    <s v="Marketing"/>
    <x v="6"/>
    <s v="Travel expense - Marketing"/>
    <n v="57844"/>
    <s v="Credit Card"/>
    <s v="Yes"/>
    <n v="69887"/>
    <n v="12043"/>
    <s v="PrintZone"/>
    <s v="INV-75735"/>
    <s v="2026"/>
  </r>
  <r>
    <x v="284"/>
    <s v="Marketing"/>
    <x v="1"/>
    <s v="Marketing expense - Marketing"/>
    <n v="79897"/>
    <s v="Credit Card"/>
    <s v="Yes"/>
    <n v="83251"/>
    <n v="3354"/>
    <s v="AdPro Media"/>
    <s v="INV-36041"/>
    <s v="2026"/>
  </r>
  <r>
    <x v="285"/>
    <s v="Marketing"/>
    <x v="4"/>
    <s v="Equipment expense - Marketing"/>
    <n v="27671"/>
    <s v="Credit Card"/>
    <s v="Yes"/>
    <n v="36461"/>
    <n v="8790"/>
    <s v="SkillUp Academy"/>
    <s v="INV-83473"/>
    <s v="2026"/>
  </r>
  <r>
    <x v="286"/>
    <s v="Marketing"/>
    <x v="5"/>
    <s v="Utilities expense - Marketing"/>
    <n v="2928"/>
    <s v="Credit Card"/>
    <s v="No"/>
    <n v="3428"/>
    <n v="500"/>
    <s v="Strategy Consultants"/>
    <s v="INV-21555"/>
    <s v="2026"/>
  </r>
  <r>
    <x v="287"/>
    <s v="Marketing"/>
    <x v="0"/>
    <s v="Software expense - Marketing"/>
    <n v="7935"/>
    <s v="Bank Transfer"/>
    <s v="Yes"/>
    <n v="8659"/>
    <n v="724"/>
    <s v="AdPro Media"/>
    <s v="INV-92132"/>
    <s v="2026"/>
  </r>
  <r>
    <x v="288"/>
    <s v="Marketing"/>
    <x v="6"/>
    <s v="Travel expense - Marketing"/>
    <n v="27195"/>
    <s v="Cash"/>
    <s v="Yes"/>
    <n v="37920"/>
    <n v="10725"/>
    <s v="QuickTravel"/>
    <s v="INV-42339"/>
    <s v="2026"/>
  </r>
  <r>
    <x v="289"/>
    <s v="Marketing"/>
    <x v="7"/>
    <s v="Training expense - Marketing"/>
    <n v="25311"/>
    <s v="Bank Transfer"/>
    <s v="Yes"/>
    <n v="33440"/>
    <n v="8129"/>
    <s v="SkillUp Academy"/>
    <s v="INV-16990"/>
    <s v="2026"/>
  </r>
  <r>
    <x v="290"/>
    <s v="Sales"/>
    <x v="7"/>
    <s v="Training expense - Sales"/>
    <n v="8832"/>
    <s v="Cash"/>
    <s v="Yes"/>
    <n v="10064"/>
    <n v="1232"/>
    <s v="PrintZone"/>
    <s v="INV-34673"/>
    <s v="2026"/>
  </r>
  <r>
    <x v="291"/>
    <s v="Sales"/>
    <x v="7"/>
    <s v="Training expense - Sales"/>
    <n v="9528"/>
    <s v="Cash"/>
    <s v="Yes"/>
    <n v="10372"/>
    <n v="844"/>
    <s v="SkillUp Academy"/>
    <s v="INV-22112"/>
    <s v="2026"/>
  </r>
  <r>
    <x v="292"/>
    <s v="Sales"/>
    <x v="3"/>
    <s v="Consulting expense - Sales"/>
    <n v="103101"/>
    <s v="Cheque"/>
    <s v="Yes"/>
    <n v="132933"/>
    <n v="29832"/>
    <s v="TechMart India"/>
    <s v="INV-86706"/>
    <s v="2026"/>
  </r>
  <r>
    <x v="293"/>
    <s v="Sales"/>
    <x v="4"/>
    <s v="Equipment expense - Sales"/>
    <n v="25408"/>
    <s v="Cheque"/>
    <s v="Yes"/>
    <n v="32242"/>
    <n v="6834"/>
    <s v="SkillUp Academy"/>
    <s v="INV-37190"/>
    <s v="2026"/>
  </r>
  <r>
    <x v="294"/>
    <s v="Sales"/>
    <x v="5"/>
    <s v="Utilities expense - Sales"/>
    <n v="12463"/>
    <s v="Cash"/>
    <s v="Yes"/>
    <n v="18498"/>
    <n v="6035"/>
    <s v="GlobalTravel"/>
    <s v="INV-37619"/>
    <s v="2026"/>
  </r>
  <r>
    <x v="295"/>
    <s v="Sales"/>
    <x v="7"/>
    <s v="Training expense - Sales"/>
    <n v="10151"/>
    <s v="Credit Card"/>
    <s v="No"/>
    <n v="12525"/>
    <n v="2374"/>
    <s v="CloudSoft"/>
    <s v="INV-72286"/>
    <s v="2026"/>
  </r>
  <r>
    <x v="296"/>
    <s v="HR"/>
    <x v="3"/>
    <s v="Consulting expense - HR"/>
    <n v="163831"/>
    <s v="Cheque"/>
    <s v="No"/>
    <n v="190289"/>
    <n v="26458"/>
    <s v="TechMart India"/>
    <s v="INV-52253"/>
    <s v="2026"/>
  </r>
  <r>
    <x v="297"/>
    <s v="HR"/>
    <x v="0"/>
    <s v="Software expense - HR"/>
    <n v="43253"/>
    <s v="Bank Transfer"/>
    <s v="Yes"/>
    <n v="51014"/>
    <n v="7761"/>
    <s v="Strategy Consultants"/>
    <s v="INV-53871"/>
    <s v="2024"/>
  </r>
  <r>
    <x v="298"/>
    <s v="HR"/>
    <x v="5"/>
    <s v="Utilities expense - HR"/>
    <n v="11614"/>
    <s v="Cash"/>
    <s v="Yes"/>
    <n v="16858"/>
    <n v="5244"/>
    <s v="CloudSoft"/>
    <s v="INV-71189"/>
    <s v="2024"/>
  </r>
  <r>
    <x v="299"/>
    <s v="HR"/>
    <x v="1"/>
    <s v="Marketing expense - HR"/>
    <n v="15701"/>
    <s v="Cheque"/>
    <s v="No"/>
    <n v="19147"/>
    <n v="3446"/>
    <s v="AdPro Media"/>
    <s v="INV-67012"/>
    <s v="2024"/>
  </r>
  <r>
    <x v="300"/>
    <s v="Finance"/>
    <x v="4"/>
    <s v="Equipment expense - Finance"/>
    <n v="67072"/>
    <s v="Cash"/>
    <s v="No"/>
    <n v="95044"/>
    <n v="27972"/>
    <s v="PowerGrid Co"/>
    <s v="INV-73249"/>
    <s v="2024"/>
  </r>
  <r>
    <x v="301"/>
    <s v="Finance"/>
    <x v="4"/>
    <s v="Equipment expense - Finance"/>
    <n v="44344"/>
    <s v="Credit Card"/>
    <s v="Yes"/>
    <n v="45234"/>
    <n v="890"/>
    <s v="HardwarePro"/>
    <s v="INV-45305"/>
    <s v="2024"/>
  </r>
  <r>
    <x v="302"/>
    <s v="Finance"/>
    <x v="4"/>
    <s v="Equipment expense - Finance"/>
    <n v="82735"/>
    <s v="Bank Transfer"/>
    <s v="Yes"/>
    <n v="83916"/>
    <n v="1181"/>
    <s v="AdPro Media"/>
    <s v="INV-78692"/>
    <s v="2024"/>
  </r>
  <r>
    <x v="303"/>
    <s v="Finance"/>
    <x v="2"/>
    <s v="Office Supplies expense - Finance"/>
    <n v="5152"/>
    <s v="Cash"/>
    <s v="Yes"/>
    <n v="7089"/>
    <n v="1937"/>
    <s v="QuickTravel"/>
    <s v="INV-50537"/>
    <s v="2024"/>
  </r>
  <r>
    <x v="304"/>
    <s v="Finance"/>
    <x v="1"/>
    <s v="Marketing expense - Finance"/>
    <n v="100728"/>
    <s v="Cheque"/>
    <s v="Yes"/>
    <n v="123831"/>
    <n v="23103"/>
    <s v="CloudSoft"/>
    <s v="INV-36267"/>
    <s v="2024"/>
  </r>
  <r>
    <x v="305"/>
    <s v="Finance"/>
    <x v="1"/>
    <s v="Marketing expense - Finance"/>
    <n v="88979"/>
    <s v="Bank Transfer"/>
    <s v="Yes"/>
    <n v="102661"/>
    <n v="13682"/>
    <s v="HardwarePro"/>
    <s v="INV-21818"/>
    <s v="2024"/>
  </r>
  <r>
    <x v="306"/>
    <s v="Finance"/>
    <x v="2"/>
    <s v="Office Supplies expense - Finance"/>
    <n v="1762"/>
    <s v="Cash"/>
    <s v="Yes"/>
    <n v="2365"/>
    <n v="603"/>
    <s v="Strategy Consultants"/>
    <s v="INV-30883"/>
    <s v="2024"/>
  </r>
  <r>
    <x v="307"/>
    <s v="Finance"/>
    <x v="5"/>
    <s v="Utilities expense - Finance"/>
    <n v="2636"/>
    <s v="Cheque"/>
    <s v="Yes"/>
    <n v="3257"/>
    <n v="621"/>
    <s v="Strategy Consultants"/>
    <s v="INV-97613"/>
    <s v="2026"/>
  </r>
  <r>
    <x v="308"/>
    <s v="Operations"/>
    <x v="3"/>
    <s v="Consulting expense - Operations"/>
    <n v="195132"/>
    <s v="Cheque"/>
    <s v="Yes"/>
    <n v="218815"/>
    <n v="23683"/>
    <s v="PowerGrid Co"/>
    <s v="INV-27501"/>
    <s v="2026"/>
  </r>
  <r>
    <x v="309"/>
    <s v="Operations"/>
    <x v="4"/>
    <s v="Equipment expense - Operations"/>
    <n v="106352"/>
    <s v="Cheque"/>
    <s v="No"/>
    <n v="123746"/>
    <n v="17394"/>
    <s v="HardwarePro"/>
    <s v="INV-80007"/>
    <s v="2026"/>
  </r>
  <r>
    <x v="310"/>
    <s v="Operations"/>
    <x v="0"/>
    <s v="Software expense - Operations"/>
    <n v="24732"/>
    <s v="Credit Card"/>
    <s v="Yes"/>
    <n v="30770"/>
    <n v="6038"/>
    <s v="AdPro Media"/>
    <s v="INV-33351"/>
    <s v="2026"/>
  </r>
  <r>
    <x v="311"/>
    <s v="Operations"/>
    <x v="2"/>
    <s v="Office Supplies expense - Operations"/>
    <n v="3523"/>
    <s v="Credit Card"/>
    <s v="No"/>
    <n v="4161"/>
    <n v="638"/>
    <s v="AdPro Media"/>
    <s v="INV-62190"/>
    <s v="2026"/>
  </r>
  <r>
    <x v="312"/>
    <s v="Operations"/>
    <x v="0"/>
    <s v="Software expense - Operations"/>
    <n v="44308"/>
    <s v="Bank Transfer"/>
    <s v="Yes"/>
    <n v="49405"/>
    <n v="5097"/>
    <s v="PrintZone"/>
    <s v="INV-49575"/>
    <s v="2026"/>
  </r>
  <r>
    <x v="313"/>
    <s v="Operations"/>
    <x v="4"/>
    <s v="Equipment expense - Operations"/>
    <n v="17170"/>
    <s v="Bank Transfer"/>
    <s v="Yes"/>
    <n v="20085"/>
    <n v="2915"/>
    <s v="CloudSoft"/>
    <s v="INV-47350"/>
    <s v="2026"/>
  </r>
  <r>
    <x v="314"/>
    <s v="Engineering"/>
    <x v="4"/>
    <s v="Equipment expense - Engineering"/>
    <n v="93509"/>
    <s v="Cash"/>
    <s v="Yes"/>
    <n v="131907"/>
    <n v="38398"/>
    <s v="CloudSoft"/>
    <s v="INV-31435"/>
    <s v="2026"/>
  </r>
  <r>
    <x v="315"/>
    <s v="Engineering"/>
    <x v="4"/>
    <s v="Equipment expense - Engineering"/>
    <n v="94435"/>
    <s v="Cheque"/>
    <s v="Yes"/>
    <n v="118863"/>
    <n v="24428"/>
    <s v="PowerGrid Co"/>
    <s v="INV-99923"/>
    <s v="2026"/>
  </r>
  <r>
    <x v="316"/>
    <s v="Engineering"/>
    <x v="0"/>
    <s v="Software expense - Engineering"/>
    <n v="44983"/>
    <s v="Credit Card"/>
    <s v="Yes"/>
    <n v="64381"/>
    <n v="19398"/>
    <s v="PowerGrid Co"/>
    <s v="INV-26874"/>
    <s v="2026"/>
  </r>
  <r>
    <x v="317"/>
    <s v="Engineering"/>
    <x v="4"/>
    <s v="Equipment expense - Engineering"/>
    <n v="94954"/>
    <s v="Cheque"/>
    <s v="Yes"/>
    <n v="116541"/>
    <n v="21587"/>
    <s v="TechMart India"/>
    <s v="INV-49708"/>
    <s v="2026"/>
  </r>
  <r>
    <x v="318"/>
    <s v="Engineering"/>
    <x v="4"/>
    <s v="Equipment expense - Engineering"/>
    <n v="38901"/>
    <s v="Cheque"/>
    <s v="No"/>
    <n v="53335"/>
    <n v="14434"/>
    <s v="PowerGrid Co"/>
    <s v="INV-72068"/>
    <s v="2025"/>
  </r>
  <r>
    <x v="319"/>
    <s v="Marketing"/>
    <x v="5"/>
    <s v="Utilities expense - Marketing"/>
    <n v="14830"/>
    <s v="Credit Card"/>
    <s v="Yes"/>
    <n v="18797"/>
    <n v="3967"/>
    <s v="HardwarePro"/>
    <s v="INV-79692"/>
    <s v="2025"/>
  </r>
  <r>
    <x v="320"/>
    <s v="Marketing"/>
    <x v="4"/>
    <s v="Equipment expense - Marketing"/>
    <n v="119073"/>
    <s v="Credit Card"/>
    <s v="Yes"/>
    <n v="159243"/>
    <n v="40170"/>
    <s v="AdPro Media"/>
    <s v="INV-43795"/>
    <s v="2025"/>
  </r>
  <r>
    <x v="321"/>
    <s v="Marketing"/>
    <x v="2"/>
    <s v="Office Supplies expense - Marketing"/>
    <n v="4718"/>
    <s v="Cheque"/>
    <s v="Yes"/>
    <n v="6635"/>
    <n v="1917"/>
    <s v="TechMart India"/>
    <s v="INV-70917"/>
    <s v="2025"/>
  </r>
  <r>
    <x v="322"/>
    <s v="Marketing"/>
    <x v="7"/>
    <s v="Training expense - Marketing"/>
    <n v="4305"/>
    <s v="Cheque"/>
    <s v="Yes"/>
    <n v="4567"/>
    <n v="262"/>
    <s v="TechMart India"/>
    <s v="INV-88555"/>
    <s v="2025"/>
  </r>
  <r>
    <x v="323"/>
    <s v="Marketing"/>
    <x v="5"/>
    <s v="Utilities expense - Marketing"/>
    <n v="5134"/>
    <s v="Cash"/>
    <s v="Yes"/>
    <n v="6227"/>
    <n v="1093"/>
    <s v="GlobalTravel"/>
    <s v="INV-45027"/>
    <s v="2025"/>
  </r>
  <r>
    <x v="324"/>
    <s v="Marketing"/>
    <x v="1"/>
    <s v="Marketing expense - Marketing"/>
    <n v="86871"/>
    <s v="Cheque"/>
    <s v="Yes"/>
    <n v="102372"/>
    <n v="15501"/>
    <s v="SkillUp Academy"/>
    <s v="INV-93359"/>
    <s v="2025"/>
  </r>
  <r>
    <x v="325"/>
    <s v="Marketing"/>
    <x v="6"/>
    <s v="Travel expense - Marketing"/>
    <n v="19638"/>
    <s v="Cheque"/>
    <s v="Yes"/>
    <n v="23146"/>
    <n v="3508"/>
    <s v="CloudSoft"/>
    <s v="INV-21016"/>
    <s v="2025"/>
  </r>
  <r>
    <x v="326"/>
    <s v="Marketing"/>
    <x v="0"/>
    <s v="Software expense - Marketing"/>
    <n v="10261"/>
    <s v="Cheque"/>
    <s v="Yes"/>
    <n v="13990"/>
    <n v="3729"/>
    <s v="SkillUp Academy"/>
    <s v="INV-55270"/>
    <s v="2025"/>
  </r>
  <r>
    <x v="327"/>
    <s v="Sales"/>
    <x v="2"/>
    <s v="Office Supplies expense - Sales"/>
    <n v="7263"/>
    <s v="Cheque"/>
    <s v="Yes"/>
    <n v="10544"/>
    <n v="3281"/>
    <s v="QuickTravel"/>
    <s v="INV-52806"/>
    <s v="2025"/>
  </r>
  <r>
    <x v="328"/>
    <s v="Sales"/>
    <x v="5"/>
    <s v="Utilities expense - Sales"/>
    <n v="1627"/>
    <s v="Credit Card"/>
    <s v="Yes"/>
    <n v="1746"/>
    <n v="119"/>
    <s v="GlobalTravel"/>
    <s v="INV-20323"/>
    <s v="2025"/>
  </r>
  <r>
    <x v="329"/>
    <s v="Sales"/>
    <x v="5"/>
    <s v="Utilities expense - Sales"/>
    <n v="11432"/>
    <s v="Cheque"/>
    <s v="Yes"/>
    <n v="15715"/>
    <n v="4283"/>
    <s v="CloudSoft"/>
    <s v="INV-43666"/>
    <s v="2025"/>
  </r>
  <r>
    <x v="330"/>
    <s v="Sales"/>
    <x v="0"/>
    <s v="Software expense - Sales"/>
    <n v="30405"/>
    <s v="Bank Transfer"/>
    <s v="No"/>
    <n v="45078"/>
    <n v="14673"/>
    <s v="SkillUp Academy"/>
    <s v="INV-49741"/>
    <s v="2025"/>
  </r>
  <r>
    <x v="331"/>
    <s v="Sales"/>
    <x v="2"/>
    <s v="Office Supplies expense - Sales"/>
    <n v="6187"/>
    <s v="Cheque"/>
    <s v="Yes"/>
    <n v="8659"/>
    <n v="2472"/>
    <s v="HardwarePro"/>
    <s v="INV-46016"/>
    <s v="2025"/>
  </r>
  <r>
    <x v="332"/>
    <s v="Sales"/>
    <x v="1"/>
    <s v="Marketing expense - Sales"/>
    <n v="82575"/>
    <s v="Cheque"/>
    <s v="Yes"/>
    <n v="103283"/>
    <n v="20708"/>
    <s v="SkillUp Academy"/>
    <s v="INV-45740"/>
    <s v="2025"/>
  </r>
  <r>
    <x v="333"/>
    <s v="HR"/>
    <x v="4"/>
    <s v="Equipment expense - HR"/>
    <n v="32149"/>
    <s v="Bank Transfer"/>
    <s v="Yes"/>
    <n v="32450"/>
    <n v="301"/>
    <s v="SkillUp Academy"/>
    <s v="INV-70613"/>
    <s v="2025"/>
  </r>
  <r>
    <x v="334"/>
    <s v="HR"/>
    <x v="5"/>
    <s v="Utilities expense - HR"/>
    <n v="2591"/>
    <s v="Cash"/>
    <s v="Yes"/>
    <n v="2878"/>
    <n v="287"/>
    <s v="QuickTravel"/>
    <s v="INV-90135"/>
    <s v="2026"/>
  </r>
  <r>
    <x v="335"/>
    <s v="HR"/>
    <x v="7"/>
    <s v="Training expense - HR"/>
    <n v="26860"/>
    <s v="Cheque"/>
    <s v="No"/>
    <n v="36423"/>
    <n v="9563"/>
    <s v="HardwarePro"/>
    <s v="INV-93200"/>
    <s v="2026"/>
  </r>
  <r>
    <x v="336"/>
    <s v="Finance"/>
    <x v="5"/>
    <s v="Utilities expense - Finance"/>
    <n v="9871"/>
    <s v="Credit Card"/>
    <s v="Yes"/>
    <n v="11791"/>
    <n v="1920"/>
    <s v="PowerGrid Co"/>
    <s v="INV-51896"/>
    <s v="2026"/>
  </r>
  <r>
    <x v="337"/>
    <s v="Finance"/>
    <x v="5"/>
    <s v="Utilities expense - Finance"/>
    <n v="14477"/>
    <s v="Cheque"/>
    <s v="Yes"/>
    <n v="17694"/>
    <n v="3217"/>
    <s v="GlobalTravel"/>
    <s v="INV-32283"/>
    <s v="2026"/>
  </r>
  <r>
    <x v="338"/>
    <s v="Finance"/>
    <x v="4"/>
    <s v="Equipment expense - Finance"/>
    <n v="38514"/>
    <s v="Credit Card"/>
    <s v="Yes"/>
    <n v="46273"/>
    <n v="7759"/>
    <s v="GlobalTravel"/>
    <s v="INV-55259"/>
    <s v="2026"/>
  </r>
  <r>
    <x v="339"/>
    <s v="Finance"/>
    <x v="0"/>
    <s v="Software expense - Finance"/>
    <n v="15602"/>
    <s v="Cash"/>
    <s v="Yes"/>
    <n v="21437"/>
    <n v="5835"/>
    <s v="SkillUp Academy"/>
    <s v="INV-51331"/>
    <s v="2026"/>
  </r>
  <r>
    <x v="340"/>
    <s v="Finance"/>
    <x v="3"/>
    <s v="Consulting expense - Finance"/>
    <n v="186816"/>
    <s v="Bank Transfer"/>
    <s v="No"/>
    <n v="230473"/>
    <n v="43657"/>
    <s v="PowerGrid Co"/>
    <s v="INV-84041"/>
    <s v="2026"/>
  </r>
  <r>
    <x v="341"/>
    <s v="Finance"/>
    <x v="4"/>
    <s v="Equipment expense - Finance"/>
    <n v="59446"/>
    <s v="Cash"/>
    <s v="No"/>
    <n v="89045"/>
    <n v="29599"/>
    <s v="Strategy Consultants"/>
    <s v="INV-40765"/>
    <s v="2026"/>
  </r>
  <r>
    <x v="342"/>
    <s v="Finance"/>
    <x v="4"/>
    <s v="Equipment expense - Finance"/>
    <n v="75463"/>
    <s v="Credit Card"/>
    <s v="Yes"/>
    <n v="80432"/>
    <n v="4969"/>
    <s v="HardwarePro"/>
    <s v="INV-38613"/>
    <s v="2026"/>
  </r>
  <r>
    <x v="343"/>
    <s v="Operations"/>
    <x v="0"/>
    <s v="Software expense - Operations"/>
    <n v="39404"/>
    <s v="Bank Transfer"/>
    <s v="Yes"/>
    <n v="45105"/>
    <n v="5701"/>
    <s v="GlobalTravel"/>
    <s v="INV-63545"/>
    <s v="2026"/>
  </r>
  <r>
    <x v="344"/>
    <s v="Operations"/>
    <x v="5"/>
    <s v="Utilities expense - Operations"/>
    <n v="13308"/>
    <s v="Cash"/>
    <s v="Yes"/>
    <n v="14757"/>
    <n v="1449"/>
    <s v="PowerGrid Co"/>
    <s v="INV-92611"/>
    <s v="2026"/>
  </r>
  <r>
    <x v="345"/>
    <s v="Operations"/>
    <x v="0"/>
    <s v="Software expense - Operations"/>
    <n v="45531"/>
    <s v="Cash"/>
    <s v="No"/>
    <n v="65673"/>
    <n v="20142"/>
    <s v="GlobalTravel"/>
    <s v="INV-79796"/>
    <s v="2026"/>
  </r>
  <r>
    <x v="346"/>
    <s v="Operations"/>
    <x v="4"/>
    <s v="Equipment expense - Operations"/>
    <n v="34504"/>
    <s v="Cheque"/>
    <s v="Yes"/>
    <n v="49324"/>
    <n v="14820"/>
    <s v="Strategy Consultants"/>
    <s v="INV-30574"/>
    <s v="2026"/>
  </r>
  <r>
    <x v="347"/>
    <s v="Engineering"/>
    <x v="4"/>
    <s v="Equipment expense - Engineering"/>
    <n v="42802"/>
    <s v="Cash"/>
    <s v="Yes"/>
    <n v="42873"/>
    <n v="71"/>
    <s v="CloudSoft"/>
    <s v="INV-99568"/>
    <s v="2026"/>
  </r>
  <r>
    <x v="348"/>
    <s v="Engineering"/>
    <x v="0"/>
    <s v="Software expense - Engineering"/>
    <n v="27123"/>
    <s v="Cheque"/>
    <s v="Yes"/>
    <n v="34991"/>
    <n v="7868"/>
    <s v="PrintZone"/>
    <s v="INV-93416"/>
    <s v="2026"/>
  </r>
  <r>
    <x v="349"/>
    <s v="Engineering"/>
    <x v="6"/>
    <s v="Travel expense - Engineering"/>
    <n v="34385"/>
    <s v="Credit Card"/>
    <s v="No"/>
    <n v="36767"/>
    <n v="2382"/>
    <s v="AdPro Media"/>
    <s v="INV-63578"/>
    <s v="2026"/>
  </r>
  <r>
    <x v="350"/>
    <s v="Engineering"/>
    <x v="6"/>
    <s v="Travel expense - Engineering"/>
    <n v="47601"/>
    <s v="Cheque"/>
    <s v="Yes"/>
    <n v="62115"/>
    <n v="14514"/>
    <s v="PowerGrid Co"/>
    <s v="INV-12977"/>
    <s v="2026"/>
  </r>
  <r>
    <x v="351"/>
    <s v="Marketing"/>
    <x v="4"/>
    <s v="Equipment expense - Marketing"/>
    <n v="77359"/>
    <s v="Bank Transfer"/>
    <s v="Yes"/>
    <n v="97137"/>
    <n v="19778"/>
    <s v="PowerGrid Co"/>
    <s v="INV-41367"/>
    <s v="2026"/>
  </r>
  <r>
    <x v="352"/>
    <s v="Marketing"/>
    <x v="1"/>
    <s v="Marketing expense - Marketing"/>
    <n v="133776"/>
    <s v="Cash"/>
    <s v="Yes"/>
    <n v="196459"/>
    <n v="62683"/>
    <s v="SkillUp Academy"/>
    <s v="INV-18495"/>
    <s v="2026"/>
  </r>
  <r>
    <x v="353"/>
    <s v="Marketing"/>
    <x v="6"/>
    <s v="Travel expense - Marketing"/>
    <n v="32132"/>
    <s v="Bank Transfer"/>
    <s v="No"/>
    <n v="41412"/>
    <n v="9280"/>
    <s v="Strategy Consultants"/>
    <s v="INV-41704"/>
    <s v="2025"/>
  </r>
  <r>
    <x v="354"/>
    <s v="Marketing"/>
    <x v="1"/>
    <s v="Marketing expense - Marketing"/>
    <n v="130954"/>
    <s v="Cash"/>
    <s v="Yes"/>
    <n v="163707"/>
    <n v="32753"/>
    <s v="PrintZone"/>
    <s v="INV-70583"/>
    <s v="2025"/>
  </r>
  <r>
    <x v="355"/>
    <s v="Marketing"/>
    <x v="0"/>
    <s v="Software expense - Marketing"/>
    <n v="2451"/>
    <s v="Cheque"/>
    <s v="No"/>
    <n v="3368"/>
    <n v="917"/>
    <s v="Strategy Consultants"/>
    <s v="INV-60504"/>
    <s v="2025"/>
  </r>
  <r>
    <x v="356"/>
    <s v="Marketing"/>
    <x v="0"/>
    <s v="Software expense - Marketing"/>
    <n v="29334"/>
    <s v="Credit Card"/>
    <s v="No"/>
    <n v="43379"/>
    <n v="14045"/>
    <s v="GlobalTravel"/>
    <s v="INV-13109"/>
    <s v="2025"/>
  </r>
  <r>
    <x v="357"/>
    <s v="Marketing"/>
    <x v="3"/>
    <s v="Consulting expense - Marketing"/>
    <n v="136040"/>
    <s v="Cash"/>
    <s v="Yes"/>
    <n v="192344"/>
    <n v="56304"/>
    <s v="TechMart India"/>
    <s v="INV-57628"/>
    <s v="2025"/>
  </r>
  <r>
    <x v="358"/>
    <s v="Marketing"/>
    <x v="4"/>
    <s v="Equipment expense - Marketing"/>
    <n v="98929"/>
    <s v="Cheque"/>
    <s v="Yes"/>
    <n v="144802"/>
    <n v="45873"/>
    <s v="QuickTravel"/>
    <s v="INV-23582"/>
    <s v="2025"/>
  </r>
  <r>
    <x v="359"/>
    <s v="Sales"/>
    <x v="7"/>
    <s v="Training expense - Sales"/>
    <n v="27836"/>
    <s v="Credit Card"/>
    <s v="Yes"/>
    <n v="39322"/>
    <n v="11486"/>
    <s v="PowerGrid Co"/>
    <s v="INV-64118"/>
    <s v="2025"/>
  </r>
  <r>
    <x v="360"/>
    <s v="Sales"/>
    <x v="5"/>
    <s v="Utilities expense - Sales"/>
    <n v="3325"/>
    <s v="Cheque"/>
    <s v="Yes"/>
    <n v="4843"/>
    <n v="1518"/>
    <s v="SkillUp Academy"/>
    <s v="INV-22730"/>
    <s v="2025"/>
  </r>
  <r>
    <x v="361"/>
    <s v="Sales"/>
    <x v="5"/>
    <s v="Utilities expense - Sales"/>
    <n v="11519"/>
    <s v="Cheque"/>
    <s v="Yes"/>
    <n v="15514"/>
    <n v="3995"/>
    <s v="SkillUp Academy"/>
    <s v="INV-54884"/>
    <s v="2025"/>
  </r>
  <r>
    <x v="362"/>
    <s v="Sales"/>
    <x v="7"/>
    <s v="Training expense - Sales"/>
    <n v="25583"/>
    <s v="Cheque"/>
    <s v="Yes"/>
    <n v="31271"/>
    <n v="5688"/>
    <s v="AdPro Media"/>
    <s v="INV-46083"/>
    <s v="2025"/>
  </r>
  <r>
    <x v="363"/>
    <s v="HR"/>
    <x v="6"/>
    <s v="Travel expense - HR"/>
    <n v="23352"/>
    <s v="Credit Card"/>
    <s v="Yes"/>
    <n v="25080"/>
    <n v="1728"/>
    <s v="PowerGrid Co"/>
    <s v="INV-83864"/>
    <s v="2025"/>
  </r>
  <r>
    <x v="364"/>
    <s v="HR"/>
    <x v="5"/>
    <s v="Utilities expense - HR"/>
    <n v="12694"/>
    <s v="Bank Transfer"/>
    <s v="No"/>
    <n v="14542"/>
    <n v="1848"/>
    <s v="SkillUp Academy"/>
    <s v="INV-72296"/>
    <s v="2025"/>
  </r>
  <r>
    <x v="365"/>
    <s v="HR"/>
    <x v="3"/>
    <s v="Consulting expense - HR"/>
    <n v="186495"/>
    <s v="Bank Transfer"/>
    <s v="Yes"/>
    <n v="213992"/>
    <n v="27497"/>
    <s v="AdPro Media"/>
    <s v="INV-48316"/>
    <s v="2026"/>
  </r>
  <r>
    <x v="366"/>
    <s v="HR"/>
    <x v="4"/>
    <s v="Equipment expense - HR"/>
    <n v="38725"/>
    <s v="Bank Transfer"/>
    <s v="No"/>
    <n v="51054"/>
    <n v="12329"/>
    <s v="SkillUp Academy"/>
    <s v="INV-29446"/>
    <s v="2026"/>
  </r>
  <r>
    <x v="367"/>
    <s v="HR"/>
    <x v="6"/>
    <s v="Travel expense - HR"/>
    <n v="39002"/>
    <s v="Cheque"/>
    <s v="Yes"/>
    <n v="46104"/>
    <n v="7102"/>
    <s v="AdPro Media"/>
    <s v="INV-32335"/>
    <s v="2026"/>
  </r>
  <r>
    <x v="368"/>
    <s v="HR"/>
    <x v="5"/>
    <s v="Utilities expense - HR"/>
    <n v="11548"/>
    <s v="Cash"/>
    <s v="No"/>
    <n v="12448"/>
    <n v="900"/>
    <s v="PowerGrid Co"/>
    <s v="INV-59542"/>
    <s v="2026"/>
  </r>
  <r>
    <x v="369"/>
    <s v="HR"/>
    <x v="3"/>
    <s v="Consulting expense - HR"/>
    <n v="179968"/>
    <s v="Cheque"/>
    <s v="Yes"/>
    <n v="195186"/>
    <n v="15218"/>
    <s v="Strategy Consultants"/>
    <s v="INV-59790"/>
    <s v="2026"/>
  </r>
  <r>
    <x v="370"/>
    <s v="Finance"/>
    <x v="0"/>
    <s v="Software expense - Finance"/>
    <n v="24437"/>
    <s v="Bank Transfer"/>
    <s v="Yes"/>
    <n v="27184"/>
    <n v="2747"/>
    <s v="SkillUp Academy"/>
    <s v="INV-89775"/>
    <s v="2026"/>
  </r>
  <r>
    <x v="371"/>
    <s v="Finance"/>
    <x v="0"/>
    <s v="Software expense - Finance"/>
    <n v="44598"/>
    <s v="Cheque"/>
    <s v="No"/>
    <n v="48990"/>
    <n v="4392"/>
    <s v="TechMart India"/>
    <s v="INV-78697"/>
    <s v="2026"/>
  </r>
  <r>
    <x v="372"/>
    <s v="Finance"/>
    <x v="2"/>
    <s v="Office Supplies expense - Finance"/>
    <n v="6573"/>
    <s v="Credit Card"/>
    <s v="Yes"/>
    <n v="7239"/>
    <n v="666"/>
    <s v="QuickTravel"/>
    <s v="INV-53190"/>
    <s v="2026"/>
  </r>
  <r>
    <x v="373"/>
    <s v="Operations"/>
    <x v="0"/>
    <s v="Software expense - Operations"/>
    <n v="19791"/>
    <s v="Credit Card"/>
    <s v="Yes"/>
    <n v="25266"/>
    <n v="5475"/>
    <s v="Strategy Consultants"/>
    <s v="INV-84278"/>
    <s v="2026"/>
  </r>
  <r>
    <x v="374"/>
    <s v="Operations"/>
    <x v="2"/>
    <s v="Office Supplies expense - Operations"/>
    <n v="2504"/>
    <s v="Bank Transfer"/>
    <s v="Yes"/>
    <n v="2825"/>
    <n v="321"/>
    <s v="PrintZone"/>
    <s v="INV-69777"/>
    <s v="2026"/>
  </r>
  <r>
    <x v="375"/>
    <s v="Operations"/>
    <x v="1"/>
    <s v="Marketing expense - Operations"/>
    <n v="20546"/>
    <s v="Cash"/>
    <s v="Yes"/>
    <n v="30607"/>
    <n v="10061"/>
    <s v="PrintZone"/>
    <s v="INV-18345"/>
    <s v="2026"/>
  </r>
  <r>
    <x v="376"/>
    <s v="Operations"/>
    <x v="1"/>
    <s v="Marketing expense - Operations"/>
    <n v="146985"/>
    <s v="Bank Transfer"/>
    <s v="Yes"/>
    <n v="169236"/>
    <n v="22251"/>
    <s v="AdPro Media"/>
    <s v="INV-86188"/>
    <s v="2026"/>
  </r>
  <r>
    <x v="377"/>
    <s v="Operations"/>
    <x v="3"/>
    <s v="Consulting expense - Operations"/>
    <n v="131705"/>
    <s v="Credit Card"/>
    <s v="Yes"/>
    <n v="138176"/>
    <n v="6471"/>
    <s v="QuickTravel"/>
    <s v="INV-35745"/>
    <s v="2026"/>
  </r>
  <r>
    <x v="378"/>
    <s v="Operations"/>
    <x v="3"/>
    <s v="Consulting expense - Operations"/>
    <n v="40515"/>
    <s v="Bank Transfer"/>
    <s v="Yes"/>
    <n v="49467"/>
    <n v="8952"/>
    <s v="GlobalTravel"/>
    <s v="INV-87250"/>
    <s v="2026"/>
  </r>
  <r>
    <x v="379"/>
    <s v="Operations"/>
    <x v="2"/>
    <s v="Office Supplies expense - Operations"/>
    <n v="5401"/>
    <s v="Credit Card"/>
    <s v="No"/>
    <n v="6717"/>
    <n v="1316"/>
    <s v="HardwarePro"/>
    <s v="INV-24617"/>
    <s v="2026"/>
  </r>
  <r>
    <x v="380"/>
    <s v="Engineering"/>
    <x v="3"/>
    <s v="Consulting expense - Engineering"/>
    <n v="178460"/>
    <s v="Cheque"/>
    <s v="Yes"/>
    <n v="195842"/>
    <n v="17382"/>
    <s v="SkillUp Academy"/>
    <s v="INV-63368"/>
    <s v="2026"/>
  </r>
  <r>
    <x v="381"/>
    <s v="Engineering"/>
    <x v="7"/>
    <s v="Training expense - Engineering"/>
    <n v="19141"/>
    <s v="Cheque"/>
    <s v="No"/>
    <n v="25181"/>
    <n v="6040"/>
    <s v="SkillUp Academy"/>
    <s v="INV-94578"/>
    <s v="2026"/>
  </r>
  <r>
    <x v="382"/>
    <s v="Engineering"/>
    <x v="7"/>
    <s v="Training expense - Engineering"/>
    <n v="11657"/>
    <s v="Cash"/>
    <s v="Yes"/>
    <n v="16712"/>
    <n v="5055"/>
    <s v="GlobalTravel"/>
    <s v="INV-75937"/>
    <s v="2026"/>
  </r>
  <r>
    <x v="383"/>
    <s v="Engineering"/>
    <x v="7"/>
    <s v="Training expense - Engineering"/>
    <n v="23510"/>
    <s v="Bank Transfer"/>
    <s v="Yes"/>
    <n v="28683"/>
    <n v="5173"/>
    <s v="TechMart India"/>
    <s v="INV-51839"/>
    <s v="2026"/>
  </r>
  <r>
    <x v="384"/>
    <s v="Engineering"/>
    <x v="3"/>
    <s v="Consulting expense - Engineering"/>
    <n v="139967"/>
    <s v="Cheque"/>
    <s v="Yes"/>
    <n v="151383"/>
    <n v="11416"/>
    <s v="QuickTravel"/>
    <s v="INV-68090"/>
    <s v="2026"/>
  </r>
  <r>
    <x v="385"/>
    <s v="Engineering"/>
    <x v="5"/>
    <s v="Utilities expense - Engineering"/>
    <n v="11451"/>
    <s v="Bank Transfer"/>
    <s v="Yes"/>
    <n v="15384"/>
    <n v="3933"/>
    <s v="QuickTravel"/>
    <s v="INV-40382"/>
    <s v="2026"/>
  </r>
  <r>
    <x v="386"/>
    <s v="Engineering"/>
    <x v="2"/>
    <s v="Office Supplies expense - Engineering"/>
    <n v="3016"/>
    <s v="Cheque"/>
    <s v="Yes"/>
    <n v="3773"/>
    <n v="757"/>
    <s v="SkillUp Academy"/>
    <s v="INV-89891"/>
    <s v="2026"/>
  </r>
  <r>
    <x v="387"/>
    <s v="Engineering"/>
    <x v="2"/>
    <s v="Office Supplies expense - Engineering"/>
    <n v="5177"/>
    <s v="Bank Transfer"/>
    <s v="Yes"/>
    <n v="6916"/>
    <n v="1739"/>
    <s v="HardwarePro"/>
    <s v="INV-32515"/>
    <s v="2026"/>
  </r>
  <r>
    <x v="388"/>
    <s v="Marketing"/>
    <x v="1"/>
    <s v="Marketing expense - Marketing"/>
    <n v="95375"/>
    <s v="Cheque"/>
    <s v="Yes"/>
    <n v="140998"/>
    <n v="45623"/>
    <s v="PrintZone"/>
    <s v="INV-44452"/>
    <s v="2026"/>
  </r>
  <r>
    <x v="389"/>
    <s v="Marketing"/>
    <x v="3"/>
    <s v="Consulting expense - Marketing"/>
    <n v="89591"/>
    <s v="Cash"/>
    <s v="Yes"/>
    <n v="106201"/>
    <n v="16610"/>
    <s v="PowerGrid Co"/>
    <s v="INV-68944"/>
    <s v="2026"/>
  </r>
  <r>
    <x v="390"/>
    <s v="Marketing"/>
    <x v="7"/>
    <s v="Training expense - Marketing"/>
    <n v="16936"/>
    <s v="Cheque"/>
    <s v="Yes"/>
    <n v="21706"/>
    <n v="4770"/>
    <s v="HardwarePro"/>
    <s v="INV-17249"/>
    <s v="2026"/>
  </r>
  <r>
    <x v="391"/>
    <s v="Marketing"/>
    <x v="4"/>
    <s v="Equipment expense - Marketing"/>
    <n v="51348"/>
    <s v="Cheque"/>
    <s v="Yes"/>
    <n v="67928"/>
    <n v="16580"/>
    <s v="TechMart India"/>
    <s v="INV-36504"/>
    <s v="2026"/>
  </r>
  <r>
    <x v="392"/>
    <s v="Sales"/>
    <x v="7"/>
    <s v="Training expense - Sales"/>
    <n v="12659"/>
    <s v="Cash"/>
    <s v="Yes"/>
    <n v="17929"/>
    <n v="5270"/>
    <s v="HardwarePro"/>
    <s v="INV-52688"/>
    <s v="2026"/>
  </r>
  <r>
    <x v="393"/>
    <s v="Sales"/>
    <x v="2"/>
    <s v="Office Supplies expense - Sales"/>
    <n v="7032"/>
    <s v="Cheque"/>
    <s v="Yes"/>
    <n v="7788"/>
    <n v="756"/>
    <s v="QuickTravel"/>
    <s v="INV-19755"/>
    <s v="2026"/>
  </r>
  <r>
    <x v="394"/>
    <s v="Sales"/>
    <x v="2"/>
    <s v="Office Supplies expense - Sales"/>
    <n v="1814"/>
    <s v="Cheque"/>
    <s v="Yes"/>
    <n v="2109"/>
    <n v="295"/>
    <s v="HardwarePro"/>
    <s v="INV-73837"/>
    <s v="2026"/>
  </r>
  <r>
    <x v="395"/>
    <s v="Sales"/>
    <x v="2"/>
    <s v="Office Supplies expense - Sales"/>
    <n v="2794"/>
    <s v="Cheque"/>
    <s v="Yes"/>
    <n v="4173"/>
    <n v="1379"/>
    <s v="QuickTravel"/>
    <s v="INV-17355"/>
    <s v="2025"/>
  </r>
  <r>
    <x v="396"/>
    <s v="HR"/>
    <x v="5"/>
    <s v="Utilities expense - HR"/>
    <n v="5522"/>
    <s v="Cash"/>
    <s v="Yes"/>
    <n v="7007"/>
    <n v="1485"/>
    <s v="Strategy Consultants"/>
    <s v="INV-27600"/>
    <s v="2026"/>
  </r>
  <r>
    <x v="397"/>
    <s v="HR"/>
    <x v="0"/>
    <s v="Software expense - HR"/>
    <n v="23269"/>
    <s v="Cheque"/>
    <s v="Yes"/>
    <n v="34638"/>
    <n v="11369"/>
    <s v="CloudSoft"/>
    <s v="INV-87307"/>
    <s v="2026"/>
  </r>
  <r>
    <x v="398"/>
    <s v="HR"/>
    <x v="7"/>
    <s v="Training expense - HR"/>
    <n v="21811"/>
    <s v="Cheque"/>
    <s v="Yes"/>
    <n v="23992"/>
    <n v="2181"/>
    <s v="PowerGrid Co"/>
    <s v="INV-85069"/>
    <s v="2026"/>
  </r>
  <r>
    <x v="399"/>
    <s v="HR"/>
    <x v="7"/>
    <s v="Training expense - HR"/>
    <n v="21241"/>
    <s v="Credit Card"/>
    <s v="Yes"/>
    <n v="26881"/>
    <n v="5640"/>
    <s v="QuickTravel"/>
    <s v="INV-51151"/>
    <s v="2026"/>
  </r>
  <r>
    <x v="400"/>
    <s v="HR"/>
    <x v="5"/>
    <s v="Utilities expense - HR"/>
    <n v="13659"/>
    <s v="Bank Transfer"/>
    <s v="Yes"/>
    <n v="16704"/>
    <n v="3045"/>
    <s v="Strategy Consultants"/>
    <s v="INV-39842"/>
    <s v="2026"/>
  </r>
  <r>
    <x v="401"/>
    <s v="HR"/>
    <x v="3"/>
    <s v="Consulting expense - HR"/>
    <n v="104949"/>
    <s v="Cash"/>
    <s v="Yes"/>
    <n v="122424"/>
    <n v="17475"/>
    <s v="AdPro Media"/>
    <s v="INV-13032"/>
    <s v="2026"/>
  </r>
  <r>
    <x v="402"/>
    <s v="HR"/>
    <x v="1"/>
    <s v="Marketing expense - HR"/>
    <n v="41245"/>
    <s v="Cheque"/>
    <s v="Yes"/>
    <n v="54490"/>
    <n v="13245"/>
    <s v="TechMart India"/>
    <s v="INV-79258"/>
    <s v="2026"/>
  </r>
  <r>
    <x v="403"/>
    <s v="HR"/>
    <x v="6"/>
    <s v="Travel expense - HR"/>
    <n v="72143"/>
    <s v="Cheque"/>
    <s v="Yes"/>
    <n v="85615"/>
    <n v="13472"/>
    <s v="GlobalTravel"/>
    <s v="INV-52869"/>
    <s v="2025"/>
  </r>
  <r>
    <x v="404"/>
    <s v="Finance"/>
    <x v="3"/>
    <s v="Consulting expense - Finance"/>
    <n v="84094"/>
    <s v="Credit Card"/>
    <s v="Yes"/>
    <n v="108263"/>
    <n v="24169"/>
    <s v="AdPro Media"/>
    <s v="INV-22077"/>
    <s v="2026"/>
  </r>
  <r>
    <x v="405"/>
    <s v="Finance"/>
    <x v="0"/>
    <s v="Software expense - Finance"/>
    <n v="36849"/>
    <s v="Credit Card"/>
    <s v="No"/>
    <n v="39764"/>
    <n v="2915"/>
    <s v="Strategy Consultants"/>
    <s v="INV-89958"/>
    <s v="2026"/>
  </r>
  <r>
    <x v="406"/>
    <s v="Finance"/>
    <x v="2"/>
    <s v="Office Supplies expense - Finance"/>
    <n v="6659"/>
    <s v="Cheque"/>
    <s v="Yes"/>
    <n v="6902"/>
    <n v="243"/>
    <s v="Strategy Consultants"/>
    <s v="INV-69151"/>
    <s v="2026"/>
  </r>
  <r>
    <x v="407"/>
    <s v="Finance"/>
    <x v="1"/>
    <s v="Marketing expense - Finance"/>
    <n v="96620"/>
    <s v="Cash"/>
    <s v="Yes"/>
    <n v="100148"/>
    <n v="3528"/>
    <s v="GlobalTravel"/>
    <s v="INV-66675"/>
    <s v="2026"/>
  </r>
  <r>
    <x v="408"/>
    <s v="Finance"/>
    <x v="6"/>
    <s v="Travel expense - Finance"/>
    <n v="57620"/>
    <s v="Cheque"/>
    <s v="Yes"/>
    <n v="74178"/>
    <n v="16558"/>
    <s v="TechMart India"/>
    <s v="INV-39521"/>
    <s v="2026"/>
  </r>
  <r>
    <x v="409"/>
    <s v="Finance"/>
    <x v="5"/>
    <s v="Utilities expense - Finance"/>
    <n v="7998"/>
    <s v="Bank Transfer"/>
    <s v="No"/>
    <n v="8600"/>
    <n v="602"/>
    <s v="PowerGrid Co"/>
    <s v="INV-79778"/>
    <s v="2026"/>
  </r>
  <r>
    <x v="410"/>
    <s v="Finance"/>
    <x v="3"/>
    <s v="Consulting expense - Finance"/>
    <n v="181340"/>
    <s v="Cash"/>
    <s v="No"/>
    <n v="241672"/>
    <n v="60332"/>
    <s v="CloudSoft"/>
    <s v="INV-34752"/>
    <s v="2026"/>
  </r>
  <r>
    <x v="411"/>
    <s v="Operations"/>
    <x v="2"/>
    <s v="Office Supplies expense - Operations"/>
    <n v="3027"/>
    <s v="Credit Card"/>
    <s v="Yes"/>
    <n v="3302"/>
    <n v="275"/>
    <s v="GlobalTravel"/>
    <s v="INV-55681"/>
    <s v="2025"/>
  </r>
  <r>
    <x v="412"/>
    <s v="Operations"/>
    <x v="0"/>
    <s v="Software expense - Operations"/>
    <n v="23460"/>
    <s v="Bank Transfer"/>
    <s v="Yes"/>
    <n v="33672"/>
    <n v="10212"/>
    <s v="SkillUp Academy"/>
    <s v="INV-31402"/>
    <s v="2026"/>
  </r>
  <r>
    <x v="413"/>
    <s v="Operations"/>
    <x v="4"/>
    <s v="Equipment expense - Operations"/>
    <n v="40530"/>
    <s v="Cash"/>
    <s v="Yes"/>
    <n v="45251"/>
    <n v="4721"/>
    <s v="CloudSoft"/>
    <s v="INV-67624"/>
    <s v="2026"/>
  </r>
  <r>
    <x v="414"/>
    <s v="Operations"/>
    <x v="0"/>
    <s v="Software expense - Operations"/>
    <n v="26583"/>
    <s v="Bank Transfer"/>
    <s v="Yes"/>
    <n v="26921"/>
    <n v="338"/>
    <s v="TechMart India"/>
    <s v="INV-68564"/>
    <s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89670-B70B-4AD6-AB2B-A94836D6B6A5}" name="PivotTable28"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H4" firstHeaderRow="1" firstDataRow="1" firstDataCol="0"/>
  <pivotFields count="12">
    <pivotField showAll="0"/>
    <pivotField showAll="0"/>
    <pivotField showAll="0"/>
    <pivotField showAll="0"/>
    <pivotField dataField="1" showAll="0"/>
    <pivotField showAll="0">
      <items count="5">
        <item x="3"/>
        <item x="0"/>
        <item x="2"/>
        <item x="1"/>
        <item t="default"/>
      </items>
    </pivotField>
    <pivotField showAll="0"/>
    <pivotField showAll="0"/>
    <pivotField showAll="0"/>
    <pivotField showAll="0"/>
    <pivotField showAll="0"/>
    <pivotField showAll="0"/>
  </pivotFields>
  <rowItems count="1">
    <i/>
  </rowItems>
  <colItems count="1">
    <i/>
  </colItems>
  <dataFields count="1">
    <dataField name="Sum of Amount (INR)" fld="4" baseField="0" baseItem="0" numFmtId="43"/>
  </dataFields>
  <formats count="1">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65FEE-E369-4D8F-AEDC-FCA1A9C26A44}" name="PivotTable2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M42" firstHeaderRow="1" firstDataRow="1" firstDataCol="0"/>
  <pivotFields count="12">
    <pivotField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247C15-AD6E-43CD-B1A7-98768DEB1ED8}" name="PivotTable2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H18" firstHeaderRow="1" firstDataRow="1" firstDataCol="0"/>
  <pivotFields count="12">
    <pivotField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dataField="1" showAll="0"/>
    <pivotField showAll="0">
      <items count="5">
        <item x="3"/>
        <item x="0"/>
        <item x="2"/>
        <item x="1"/>
        <item t="default"/>
      </items>
    </pivotField>
    <pivotField showAll="0">
      <items count="3">
        <item x="1"/>
        <item x="0"/>
        <item t="default"/>
      </items>
    </pivotField>
    <pivotField showAll="0"/>
    <pivotField showAll="0"/>
    <pivotField showAll="0"/>
    <pivotField showAll="0"/>
    <pivotField showAll="0"/>
  </pivotFields>
  <rowItems count="1">
    <i/>
  </rowItems>
  <colItems count="1">
    <i/>
  </colItems>
  <dataFields count="1">
    <dataField name="Average of Amount (INR)"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9B2217-8049-41C4-813D-EB1CFD6F85D5}" name="PivotTable2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I15" firstHeaderRow="1" firstDataRow="1" firstDataCol="1"/>
  <pivotFields count="12">
    <pivotField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dataField="1" showAll="0"/>
    <pivotField showAll="0">
      <items count="5">
        <item x="3"/>
        <item x="0"/>
        <item x="2"/>
        <item x="1"/>
        <item t="default"/>
      </items>
    </pivotField>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Sum of Amount (IN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ED7FC7-4919-4F94-9DAE-D9D35ACBCAAB}"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12">
    <pivotField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showAll="0"/>
    <pivotField dataField="1" showAll="0"/>
    <pivotField showAll="0"/>
    <pivotField showAll="0"/>
    <pivotField showAll="0"/>
  </pivotFields>
  <rowItems count="1">
    <i/>
  </rowItems>
  <colItems count="1">
    <i/>
  </colItems>
  <dataFields count="1">
    <dataField name="Sum of Budget Remaining" fld="8" baseField="0" baseItem="0" numFmtId="43"/>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F60D02-C07D-41E2-8B39-B622921A8349}" name="PivotTable16"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6:H7" firstHeaderRow="1" firstDataRow="1" firstDataCol="0"/>
  <pivotFields count="12">
    <pivotField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dataField="1" showAll="0"/>
    <pivotField showAll="0"/>
    <pivotField showAll="0"/>
    <pivotField showAll="0"/>
    <pivotField showAll="0"/>
  </pivotFields>
  <rowItems count="1">
    <i/>
  </rowItems>
  <colItems count="1">
    <i/>
  </colItems>
  <dataFields count="1">
    <dataField name="Sum of Budget Allocated" fld="7" baseField="0" baseItem="0" numFmtId="43"/>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34D0D3-00B3-4AA5-AE80-C85AA1A74CFA}"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6:C47" firstHeaderRow="1" firstDataRow="1" firstDataCol="1"/>
  <pivotFields count="12">
    <pivotField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dataField="1" showAll="0"/>
    <pivotField showAll="0">
      <items count="5">
        <item x="3"/>
        <item x="0"/>
        <item x="2"/>
        <item x="1"/>
        <item t="default"/>
      </items>
    </pivotField>
    <pivotField showAll="0">
      <items count="3">
        <item x="1"/>
        <item x="0"/>
        <item t="default"/>
      </items>
    </pivotField>
    <pivotField showAll="0"/>
    <pivotField showAll="0"/>
    <pivotField axis="axisRow" showAll="0">
      <items count="11">
        <item x="1"/>
        <item x="3"/>
        <item x="9"/>
        <item x="8"/>
        <item x="2"/>
        <item x="0"/>
        <item x="4"/>
        <item x="5"/>
        <item x="6"/>
        <item x="7"/>
        <item t="default"/>
      </items>
    </pivotField>
    <pivotField showAll="0"/>
    <pivotField showAll="0"/>
  </pivotFields>
  <rowFields count="1">
    <field x="9"/>
  </rowFields>
  <rowItems count="11">
    <i>
      <x/>
    </i>
    <i>
      <x v="1"/>
    </i>
    <i>
      <x v="2"/>
    </i>
    <i>
      <x v="3"/>
    </i>
    <i>
      <x v="4"/>
    </i>
    <i>
      <x v="5"/>
    </i>
    <i>
      <x v="6"/>
    </i>
    <i>
      <x v="7"/>
    </i>
    <i>
      <x v="8"/>
    </i>
    <i>
      <x v="9"/>
    </i>
    <i t="grand">
      <x/>
    </i>
  </rowItems>
  <colItems count="1">
    <i/>
  </colItems>
  <dataFields count="1">
    <dataField name="Average of Amount (INR)" fld="4" subtotal="average" baseField="2" baseItem="0" numFmtId="10"/>
  </dataFields>
  <formats count="2">
    <format dxfId="126">
      <pivotArea collapsedLevelsAreSubtotals="1" fieldPosition="0">
        <references count="1">
          <reference field="9" count="1">
            <x v="0"/>
          </reference>
        </references>
      </pivotArea>
    </format>
    <format dxfId="125">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1EC320-52CC-42FC-86A1-5392362465B4}"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7:C34" firstHeaderRow="1" firstDataRow="1" firstDataCol="1"/>
  <pivotFields count="12">
    <pivotField showAll="0">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axis="axisRow" showAll="0">
      <items count="7">
        <item x="0"/>
        <item x="4"/>
        <item x="3"/>
        <item x="1"/>
        <item x="5"/>
        <item x="2"/>
        <item t="default"/>
      </items>
    </pivotField>
    <pivotField showAll="0">
      <items count="9">
        <item x="3"/>
        <item x="4"/>
        <item x="1"/>
        <item x="2"/>
        <item x="0"/>
        <item x="7"/>
        <item x="6"/>
        <item x="5"/>
        <item t="default"/>
      </items>
    </pivotField>
    <pivotField showAll="0"/>
    <pivotField dataField="1" showAll="0"/>
    <pivotField showAll="0">
      <items count="5">
        <item x="3"/>
        <item x="0"/>
        <item x="2"/>
        <item x="1"/>
        <item t="default"/>
      </items>
    </pivotField>
    <pivotField showAll="0">
      <items count="3">
        <item x="1"/>
        <item x="0"/>
        <item t="default"/>
      </items>
    </pivotField>
    <pivotField showAll="0"/>
    <pivotField showAll="0"/>
    <pivotField showAll="0">
      <items count="11">
        <item x="1"/>
        <item x="3"/>
        <item x="9"/>
        <item x="8"/>
        <item x="2"/>
        <item x="0"/>
        <item x="4"/>
        <item x="5"/>
        <item x="6"/>
        <item x="7"/>
        <item t="default"/>
      </items>
    </pivotField>
    <pivotField showAll="0"/>
    <pivotField showAll="0"/>
  </pivotFields>
  <rowFields count="1">
    <field x="1"/>
  </rowFields>
  <rowItems count="7">
    <i>
      <x/>
    </i>
    <i>
      <x v="1"/>
    </i>
    <i>
      <x v="2"/>
    </i>
    <i>
      <x v="3"/>
    </i>
    <i>
      <x v="4"/>
    </i>
    <i>
      <x v="5"/>
    </i>
    <i t="grand">
      <x/>
    </i>
  </rowItems>
  <colItems count="1">
    <i/>
  </colItems>
  <dataFields count="1">
    <dataField name="Average of Amount (INR)" fld="4" subtotal="average" baseField="2" baseItem="0" numFmtId="10"/>
  </dataFields>
  <formats count="1">
    <format dxfId="12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50C9D2-0CE7-48A4-948D-7C654B0B8D97}"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7:F36" firstHeaderRow="1" firstDataRow="1" firstDataCol="1"/>
  <pivotFields count="12">
    <pivotField showAll="0"/>
    <pivotField showAll="0">
      <items count="7">
        <item x="0"/>
        <item x="4"/>
        <item x="3"/>
        <item x="1"/>
        <item x="5"/>
        <item x="2"/>
        <item t="default"/>
      </items>
    </pivotField>
    <pivotField axis="axisRow" showAll="0">
      <items count="9">
        <item x="3"/>
        <item x="4"/>
        <item x="1"/>
        <item x="2"/>
        <item x="0"/>
        <item x="7"/>
        <item x="6"/>
        <item x="5"/>
        <item t="default"/>
      </items>
    </pivotField>
    <pivotField showAll="0"/>
    <pivotField dataField="1" showAll="0"/>
    <pivotField showAll="0">
      <items count="5">
        <item x="3"/>
        <item x="0"/>
        <item x="2"/>
        <item x="1"/>
        <item t="default"/>
      </items>
    </pivotField>
    <pivotField showAll="0">
      <items count="3">
        <item x="1"/>
        <item x="0"/>
        <item t="default"/>
      </items>
    </pivotField>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Average of Amount (INR)" fld="4" subtotal="average" baseField="2" baseItem="0" numFmtId="10"/>
  </dataFields>
  <formats count="1">
    <format dxfId="1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95039C-1D12-4D90-9C0C-FAFA384491C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C22" firstHeaderRow="0" firstDataRow="1" firstDataCol="1"/>
  <pivotFields count="12">
    <pivotField axis="axisRow" showAll="0">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showAll="0"/>
    <pivotField axis="axisRow" showAll="0">
      <items count="9">
        <item sd="0" x="3"/>
        <item sd="0" x="4"/>
        <item sd="0" x="1"/>
        <item sd="0" x="2"/>
        <item sd="0" x="0"/>
        <item sd="0" x="7"/>
        <item sd="0" x="6"/>
        <item sd="0" x="5"/>
        <item t="default" sd="0"/>
      </items>
    </pivotField>
    <pivotField showAll="0"/>
    <pivotField showAll="0"/>
    <pivotField showAll="0"/>
    <pivotField showAll="0"/>
    <pivotField dataField="1" showAll="0"/>
    <pivotField dataField="1" showAll="0"/>
    <pivotField showAll="0"/>
    <pivotField showAll="0"/>
    <pivotField showAll="0"/>
  </pivotFields>
  <rowFields count="2">
    <field x="2"/>
    <field x="0"/>
  </rowFields>
  <rowItems count="9">
    <i>
      <x/>
    </i>
    <i>
      <x v="1"/>
    </i>
    <i>
      <x v="2"/>
    </i>
    <i>
      <x v="3"/>
    </i>
    <i>
      <x v="4"/>
    </i>
    <i>
      <x v="5"/>
    </i>
    <i>
      <x v="6"/>
    </i>
    <i>
      <x v="7"/>
    </i>
    <i t="grand">
      <x/>
    </i>
  </rowItems>
  <colFields count="1">
    <field x="-2"/>
  </colFields>
  <colItems count="2">
    <i>
      <x/>
    </i>
    <i i="1">
      <x v="1"/>
    </i>
  </colItems>
  <dataFields count="2">
    <dataField name="Sum of Budget Allocated" fld="7" baseField="0" baseItem="0"/>
    <dataField name="Sum of Budget Remaining" fld="8" baseField="0" baseItem="0"/>
  </dataFields>
  <formats count="2">
    <format dxfId="121">
      <pivotArea outline="0" collapsedLevelsAreSubtotals="1" fieldPosition="0"/>
    </format>
    <format dxfId="120">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DCE995-AA1C-42AE-8F26-064CC624383E}"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8:R13" firstHeaderRow="1" firstDataRow="1" firstDataCol="1"/>
  <pivotFields count="12">
    <pivotField dataField="1" showAll="0">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axis="axisRow" showAll="0">
      <items count="5">
        <item x="3"/>
        <item x="0"/>
        <item x="2"/>
        <item x="1"/>
        <item t="default"/>
      </items>
    </pivotField>
    <pivotField showAll="0">
      <items count="3">
        <item x="1"/>
        <item x="0"/>
        <item t="default"/>
      </items>
    </pivotField>
    <pivotField showAll="0"/>
    <pivotField showAll="0"/>
    <pivotField showAll="0">
      <items count="11">
        <item x="1"/>
        <item x="3"/>
        <item x="9"/>
        <item x="8"/>
        <item x="2"/>
        <item x="0"/>
        <item x="4"/>
        <item x="5"/>
        <item x="6"/>
        <item x="7"/>
        <item t="default"/>
      </items>
    </pivotField>
    <pivotField showAll="0"/>
    <pivotField showAll="0"/>
  </pivotFields>
  <rowFields count="1">
    <field x="5"/>
  </rowFields>
  <rowItems count="5">
    <i>
      <x/>
    </i>
    <i>
      <x v="1"/>
    </i>
    <i>
      <x v="2"/>
    </i>
    <i>
      <x v="3"/>
    </i>
    <i t="grand">
      <x/>
    </i>
  </rowItems>
  <colItems count="1">
    <i/>
  </colItems>
  <dataFields count="1">
    <dataField name="Count of Expens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F25784-A4AE-44A7-9AFC-2DEA564D808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L10" firstHeaderRow="1" firstDataRow="1" firstDataCol="1"/>
  <pivotFields count="12">
    <pivotField dataField="1" showAll="0"/>
    <pivotField axis="axisRow" showAll="0">
      <items count="7">
        <item x="0"/>
        <item x="4"/>
        <item x="3"/>
        <item x="1"/>
        <item x="5"/>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Count of Expense ID" fld="0" subtotal="count" baseField="0" baseItem="0"/>
  </dataFields>
  <chartFormats count="1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1" count="1" selected="0">
            <x v="0"/>
          </reference>
        </references>
      </pivotArea>
    </chartFormat>
    <chartFormat chart="8" format="24">
      <pivotArea type="data" outline="0" fieldPosition="0">
        <references count="2">
          <reference field="4294967294" count="1" selected="0">
            <x v="0"/>
          </reference>
          <reference field="1" count="1" selected="0">
            <x v="1"/>
          </reference>
        </references>
      </pivotArea>
    </chartFormat>
    <chartFormat chart="8" format="25">
      <pivotArea type="data" outline="0" fieldPosition="0">
        <references count="2">
          <reference field="4294967294" count="1" selected="0">
            <x v="0"/>
          </reference>
          <reference field="1" count="1" selected="0">
            <x v="2"/>
          </reference>
        </references>
      </pivotArea>
    </chartFormat>
    <chartFormat chart="8" format="26">
      <pivotArea type="data" outline="0" fieldPosition="0">
        <references count="2">
          <reference field="4294967294" count="1" selected="0">
            <x v="0"/>
          </reference>
          <reference field="1" count="1" selected="0">
            <x v="3"/>
          </reference>
        </references>
      </pivotArea>
    </chartFormat>
    <chartFormat chart="8" format="27">
      <pivotArea type="data" outline="0" fieldPosition="0">
        <references count="2">
          <reference field="4294967294" count="1" selected="0">
            <x v="0"/>
          </reference>
          <reference field="1" count="1" selected="0">
            <x v="4"/>
          </reference>
        </references>
      </pivotArea>
    </chartFormat>
    <chartFormat chart="8" format="28">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700CD4-9F93-45CB-9E73-85704331260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F22" firstHeaderRow="1" firstDataRow="1" firstDataCol="1"/>
  <pivotFields count="12">
    <pivotField showAll="0"/>
    <pivotField showAll="0">
      <items count="7">
        <item x="0"/>
        <item x="4"/>
        <item x="3"/>
        <item x="1"/>
        <item x="5"/>
        <item x="2"/>
        <item t="default"/>
      </items>
    </pivotField>
    <pivotField axis="axisRow" showAll="0">
      <items count="9">
        <item x="3"/>
        <item x="4"/>
        <item x="1"/>
        <item x="2"/>
        <item x="0"/>
        <item x="7"/>
        <item x="6"/>
        <item x="5"/>
        <item t="default"/>
      </items>
    </pivotField>
    <pivotField showAll="0"/>
    <pivotField dataField="1" showAll="0"/>
    <pivotField showAll="0">
      <items count="5">
        <item x="3"/>
        <item x="0"/>
        <item x="2"/>
        <item x="1"/>
        <item t="default"/>
      </items>
    </pivotField>
    <pivotField showAll="0">
      <items count="3">
        <item x="1"/>
        <item x="0"/>
        <item t="default"/>
      </items>
    </pivotField>
    <pivotField showAll="0"/>
    <pivotField showAll="0"/>
    <pivotField showAll="0">
      <items count="11">
        <item x="1"/>
        <item x="3"/>
        <item x="9"/>
        <item x="8"/>
        <item x="2"/>
        <item x="0"/>
        <item x="4"/>
        <item x="5"/>
        <item x="6"/>
        <item x="7"/>
        <item t="default"/>
      </items>
    </pivotField>
    <pivotField showAll="0">
      <items count="415">
        <item x="266"/>
        <item x="41"/>
        <item x="66"/>
        <item x="28"/>
        <item x="32"/>
        <item x="71"/>
        <item x="349"/>
        <item x="400"/>
        <item x="5"/>
        <item x="355"/>
        <item x="149"/>
        <item x="136"/>
        <item x="278"/>
        <item x="54"/>
        <item x="63"/>
        <item x="204"/>
        <item x="160"/>
        <item x="215"/>
        <item x="110"/>
        <item x="188"/>
        <item x="193"/>
        <item x="102"/>
        <item x="78"/>
        <item x="127"/>
        <item x="288"/>
        <item x="389"/>
        <item x="279"/>
        <item x="394"/>
        <item x="156"/>
        <item x="374"/>
        <item x="113"/>
        <item x="351"/>
        <item x="67"/>
        <item x="261"/>
        <item x="224"/>
        <item x="73"/>
        <item x="392"/>
        <item x="190"/>
        <item x="327"/>
        <item x="324"/>
        <item x="120"/>
        <item x="36"/>
        <item x="285"/>
        <item x="108"/>
        <item x="304"/>
        <item x="82"/>
        <item x="403"/>
        <item x="290"/>
        <item x="51"/>
        <item x="46"/>
        <item x="260"/>
        <item x="121"/>
        <item x="359"/>
        <item x="126"/>
        <item x="30"/>
        <item x="118"/>
        <item x="153"/>
        <item x="96"/>
        <item x="238"/>
        <item x="76"/>
        <item x="50"/>
        <item x="357"/>
        <item x="86"/>
        <item x="246"/>
        <item x="178"/>
        <item x="378"/>
        <item x="64"/>
        <item x="94"/>
        <item x="45"/>
        <item x="70"/>
        <item x="217"/>
        <item x="131"/>
        <item x="182"/>
        <item x="39"/>
        <item x="166"/>
        <item x="186"/>
        <item x="315"/>
        <item x="72"/>
        <item x="307"/>
        <item x="395"/>
        <item x="258"/>
        <item x="115"/>
        <item x="119"/>
        <item x="133"/>
        <item x="172"/>
        <item x="116"/>
        <item x="88"/>
        <item x="365"/>
        <item x="6"/>
        <item x="56"/>
        <item x="345"/>
        <item x="236"/>
        <item x="138"/>
        <item x="143"/>
        <item x="305"/>
        <item x="7"/>
        <item x="148"/>
        <item x="411"/>
        <item x="313"/>
        <item x="203"/>
        <item x="103"/>
        <item x="248"/>
        <item x="336"/>
        <item x="366"/>
        <item x="97"/>
        <item x="386"/>
        <item x="44"/>
        <item x="309"/>
        <item x="259"/>
        <item x="18"/>
        <item x="98"/>
        <item x="48"/>
        <item x="289"/>
        <item x="409"/>
        <item x="43"/>
        <item x="280"/>
        <item x="197"/>
        <item x="376"/>
        <item x="69"/>
        <item x="223"/>
        <item x="283"/>
        <item x="58"/>
        <item x="303"/>
        <item x="129"/>
        <item x="390"/>
        <item x="243"/>
        <item x="87"/>
        <item x="171"/>
        <item x="292"/>
        <item x="85"/>
        <item x="293"/>
        <item x="38"/>
        <item x="22"/>
        <item x="273"/>
        <item x="65"/>
        <item x="177"/>
        <item x="184"/>
        <item x="341"/>
        <item x="57"/>
        <item x="40"/>
        <item x="175"/>
        <item x="407"/>
        <item x="77"/>
        <item x="399"/>
        <item x="161"/>
        <item x="200"/>
        <item x="239"/>
        <item x="214"/>
        <item x="384"/>
        <item x="340"/>
        <item x="144"/>
        <item x="350"/>
        <item x="81"/>
        <item x="352"/>
        <item x="287"/>
        <item x="130"/>
        <item x="250"/>
        <item x="276"/>
        <item x="55"/>
        <item x="12"/>
        <item x="328"/>
        <item x="319"/>
        <item x="29"/>
        <item x="387"/>
        <item x="264"/>
        <item x="225"/>
        <item x="109"/>
        <item x="89"/>
        <item x="322"/>
        <item x="300"/>
        <item x="240"/>
        <item x="331"/>
        <item x="262"/>
        <item x="330"/>
        <item x="361"/>
        <item x="95"/>
        <item x="219"/>
        <item x="68"/>
        <item x="212"/>
        <item x="140"/>
        <item x="174"/>
        <item x="180"/>
        <item x="216"/>
        <item x="0"/>
        <item x="3"/>
        <item x="191"/>
        <item x="312"/>
        <item x="201"/>
        <item x="111"/>
        <item x="154"/>
        <item x="134"/>
        <item x="16"/>
        <item x="364"/>
        <item x="167"/>
        <item x="255"/>
        <item x="210"/>
        <item x="105"/>
        <item x="311"/>
        <item x="169"/>
        <item x="316"/>
        <item x="329"/>
        <item x="114"/>
        <item x="233"/>
        <item x="302"/>
        <item x="242"/>
        <item x="194"/>
        <item x="398"/>
        <item x="185"/>
        <item x="198"/>
        <item x="338"/>
        <item x="270"/>
        <item x="19"/>
        <item x="42"/>
        <item x="170"/>
        <item x="229"/>
        <item x="382"/>
        <item x="80"/>
        <item x="335"/>
        <item x="209"/>
        <item x="295"/>
        <item x="391"/>
        <item x="326"/>
        <item x="402"/>
        <item x="79"/>
        <item x="371"/>
        <item x="158"/>
        <item x="296"/>
        <item x="206"/>
        <item x="360"/>
        <item x="164"/>
        <item x="337"/>
        <item x="325"/>
        <item x="74"/>
        <item x="410"/>
        <item x="104"/>
        <item x="199"/>
        <item x="101"/>
        <item x="235"/>
        <item x="218"/>
        <item x="274"/>
        <item x="356"/>
        <item x="281"/>
        <item x="247"/>
        <item x="53"/>
        <item x="367"/>
        <item x="49"/>
        <item x="162"/>
        <item x="368"/>
        <item x="35"/>
        <item x="211"/>
        <item x="354"/>
        <item x="205"/>
        <item x="139"/>
        <item x="135"/>
        <item x="269"/>
        <item x="75"/>
        <item x="181"/>
        <item x="310"/>
        <item x="232"/>
        <item x="13"/>
        <item x="249"/>
        <item x="263"/>
        <item x="379"/>
        <item x="342"/>
        <item x="348"/>
        <item x="231"/>
        <item x="358"/>
        <item x="237"/>
        <item x="33"/>
        <item x="159"/>
        <item x="228"/>
        <item x="123"/>
        <item x="157"/>
        <item x="92"/>
        <item x="61"/>
        <item x="268"/>
        <item x="163"/>
        <item x="152"/>
        <item x="122"/>
        <item x="100"/>
        <item x="25"/>
        <item x="244"/>
        <item x="8"/>
        <item x="406"/>
        <item x="220"/>
        <item x="298"/>
        <item x="412"/>
        <item x="383"/>
        <item x="137"/>
        <item x="413"/>
        <item x="388"/>
        <item x="405"/>
        <item x="24"/>
        <item x="20"/>
        <item x="373"/>
        <item x="34"/>
        <item x="353"/>
        <item x="17"/>
        <item x="332"/>
        <item x="183"/>
        <item x="125"/>
        <item x="320"/>
        <item x="297"/>
        <item x="222"/>
        <item x="117"/>
        <item x="317"/>
        <item x="294"/>
        <item x="363"/>
        <item x="267"/>
        <item x="26"/>
        <item x="299"/>
        <item x="213"/>
        <item x="393"/>
        <item x="277"/>
        <item x="52"/>
        <item x="93"/>
        <item x="254"/>
        <item x="107"/>
        <item x="173"/>
        <item x="10"/>
        <item x="282"/>
        <item x="275"/>
        <item x="381"/>
        <item x="91"/>
        <item x="208"/>
        <item x="14"/>
        <item x="59"/>
        <item x="253"/>
        <item x="112"/>
        <item x="301"/>
        <item x="370"/>
        <item x="196"/>
        <item x="401"/>
        <item x="318"/>
        <item x="408"/>
        <item x="344"/>
        <item x="245"/>
        <item x="308"/>
        <item x="155"/>
        <item x="165"/>
        <item x="189"/>
        <item x="176"/>
        <item x="241"/>
        <item x="124"/>
        <item x="168"/>
        <item x="47"/>
        <item x="252"/>
        <item x="90"/>
        <item x="1"/>
        <item x="271"/>
        <item x="284"/>
        <item x="362"/>
        <item x="2"/>
        <item x="339"/>
        <item x="251"/>
        <item x="372"/>
        <item x="62"/>
        <item x="21"/>
        <item x="150"/>
        <item x="179"/>
        <item x="151"/>
        <item x="397"/>
        <item x="202"/>
        <item x="11"/>
        <item x="375"/>
        <item x="60"/>
        <item x="291"/>
        <item x="142"/>
        <item x="377"/>
        <item x="396"/>
        <item x="265"/>
        <item x="27"/>
        <item x="227"/>
        <item x="321"/>
        <item x="31"/>
        <item x="230"/>
        <item x="141"/>
        <item x="146"/>
        <item x="369"/>
        <item x="385"/>
        <item x="404"/>
        <item x="234"/>
        <item x="333"/>
        <item x="145"/>
        <item x="132"/>
        <item x="257"/>
        <item x="256"/>
        <item x="15"/>
        <item x="37"/>
        <item x="286"/>
        <item x="9"/>
        <item x="343"/>
        <item x="207"/>
        <item x="221"/>
        <item x="334"/>
        <item x="23"/>
        <item x="323"/>
        <item x="347"/>
        <item x="147"/>
        <item x="380"/>
        <item x="195"/>
        <item x="192"/>
        <item x="272"/>
        <item x="187"/>
        <item x="226"/>
        <item x="83"/>
        <item x="306"/>
        <item x="84"/>
        <item x="4"/>
        <item x="128"/>
        <item x="99"/>
        <item x="346"/>
        <item x="106"/>
        <item x="314"/>
        <item t="default"/>
      </items>
    </pivotField>
    <pivotField showAll="0">
      <items count="2">
        <item x="0"/>
        <item t="default"/>
      </items>
    </pivotField>
  </pivotFields>
  <rowFields count="1">
    <field x="2"/>
  </rowFields>
  <rowItems count="9">
    <i>
      <x/>
    </i>
    <i>
      <x v="1"/>
    </i>
    <i>
      <x v="2"/>
    </i>
    <i>
      <x v="3"/>
    </i>
    <i>
      <x v="4"/>
    </i>
    <i>
      <x v="5"/>
    </i>
    <i>
      <x v="6"/>
    </i>
    <i>
      <x v="7"/>
    </i>
    <i t="grand">
      <x/>
    </i>
  </rowItems>
  <colItems count="1">
    <i/>
  </colItems>
  <dataFields count="1">
    <dataField name="Sum of Amount (INR)" fld="4" baseField="0" baseItem="0" numFmtId="167"/>
  </dataFields>
  <formats count="1">
    <format dxfId="1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04BD94-E86A-47BE-9DAD-D8E7C082C860}" name="PivotTable2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Q4" firstHeaderRow="1" firstDataRow="1" firstDataCol="0"/>
  <pivotFields count="12">
    <pivotField dataField="1" showAll="0">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showAll="0"/>
    <pivotField showAll="0"/>
    <pivotField showAll="0"/>
    <pivotField showAll="0"/>
    <pivotField showAll="0"/>
  </pivotFields>
  <rowItems count="1">
    <i/>
  </rowItems>
  <colItems count="1">
    <i/>
  </colItems>
  <dataFields count="1">
    <dataField name="Count of Expens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7212B3-6F8F-481B-BFD3-B70AD9A7D17C}" name="PivotTable2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14:O25" firstHeaderRow="1" firstDataRow="1" firstDataCol="1"/>
  <pivotFields count="12">
    <pivotField dataField="1" showAll="0">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showAll="0"/>
    <pivotField showAll="0"/>
    <pivotField axis="axisRow" showAll="0">
      <items count="11">
        <item x="1"/>
        <item x="3"/>
        <item x="9"/>
        <item x="8"/>
        <item x="2"/>
        <item x="0"/>
        <item x="4"/>
        <item x="5"/>
        <item x="6"/>
        <item x="7"/>
        <item t="default"/>
      </items>
    </pivotField>
    <pivotField showAll="0"/>
    <pivotField showAll="0"/>
  </pivotFields>
  <rowFields count="1">
    <field x="9"/>
  </rowFields>
  <rowItems count="11">
    <i>
      <x/>
    </i>
    <i>
      <x v="1"/>
    </i>
    <i>
      <x v="2"/>
    </i>
    <i>
      <x v="3"/>
    </i>
    <i>
      <x v="4"/>
    </i>
    <i>
      <x v="5"/>
    </i>
    <i>
      <x v="6"/>
    </i>
    <i>
      <x v="7"/>
    </i>
    <i>
      <x v="8"/>
    </i>
    <i>
      <x v="9"/>
    </i>
    <i t="grand">
      <x/>
    </i>
  </rowItems>
  <colItems count="1">
    <i/>
  </colItems>
  <dataFields count="1">
    <dataField name="Count of Expense ID" fld="0" subtotal="count"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 chart="3" format="18">
      <pivotArea type="data" outline="0" fieldPosition="0">
        <references count="2">
          <reference field="4294967294" count="1" selected="0">
            <x v="0"/>
          </reference>
          <reference field="9" count="1" selected="0">
            <x v="5"/>
          </reference>
        </references>
      </pivotArea>
    </chartFormat>
    <chartFormat chart="3" format="19">
      <pivotArea type="data" outline="0" fieldPosition="0">
        <references count="2">
          <reference field="4294967294" count="1" selected="0">
            <x v="0"/>
          </reference>
          <reference field="9" count="1" selected="0">
            <x v="6"/>
          </reference>
        </references>
      </pivotArea>
    </chartFormat>
    <chartFormat chart="3" format="20">
      <pivotArea type="data" outline="0" fieldPosition="0">
        <references count="2">
          <reference field="4294967294" count="1" selected="0">
            <x v="0"/>
          </reference>
          <reference field="9" count="1" selected="0">
            <x v="7"/>
          </reference>
        </references>
      </pivotArea>
    </chartFormat>
    <chartFormat chart="3" format="21">
      <pivotArea type="data" outline="0" fieldPosition="0">
        <references count="2">
          <reference field="4294967294" count="1" selected="0">
            <x v="0"/>
          </reference>
          <reference field="9" count="1" selected="0">
            <x v="8"/>
          </reference>
        </references>
      </pivotArea>
    </chartFormat>
    <chartFormat chart="3" format="22">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DA66BC-CFB8-4A7D-9786-6B04E726A24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F10" firstHeaderRow="0" firstDataRow="1" firstDataCol="1"/>
  <pivotFields count="12">
    <pivotField showAll="0"/>
    <pivotField axis="axisRow"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dataField="1" showAll="0"/>
    <pivotField dataField="1" showAll="0"/>
    <pivotField showAll="0">
      <items count="11">
        <item x="1"/>
        <item x="3"/>
        <item x="9"/>
        <item x="8"/>
        <item x="2"/>
        <item x="0"/>
        <item x="4"/>
        <item x="5"/>
        <item x="6"/>
        <item x="7"/>
        <item t="default"/>
      </items>
    </pivotField>
    <pivotField showAll="0">
      <items count="415">
        <item x="266"/>
        <item x="41"/>
        <item x="66"/>
        <item x="28"/>
        <item x="32"/>
        <item x="71"/>
        <item x="349"/>
        <item x="400"/>
        <item x="5"/>
        <item x="355"/>
        <item x="149"/>
        <item x="136"/>
        <item x="278"/>
        <item x="54"/>
        <item x="63"/>
        <item x="204"/>
        <item x="160"/>
        <item x="215"/>
        <item x="110"/>
        <item x="188"/>
        <item x="193"/>
        <item x="102"/>
        <item x="78"/>
        <item x="127"/>
        <item x="288"/>
        <item x="389"/>
        <item x="279"/>
        <item x="394"/>
        <item x="156"/>
        <item x="374"/>
        <item x="113"/>
        <item x="351"/>
        <item x="67"/>
        <item x="261"/>
        <item x="224"/>
        <item x="73"/>
        <item x="392"/>
        <item x="190"/>
        <item x="327"/>
        <item x="324"/>
        <item x="120"/>
        <item x="36"/>
        <item x="285"/>
        <item x="108"/>
        <item x="304"/>
        <item x="82"/>
        <item x="403"/>
        <item x="290"/>
        <item x="51"/>
        <item x="46"/>
        <item x="260"/>
        <item x="121"/>
        <item x="359"/>
        <item x="126"/>
        <item x="30"/>
        <item x="118"/>
        <item x="153"/>
        <item x="96"/>
        <item x="238"/>
        <item x="76"/>
        <item x="50"/>
        <item x="357"/>
        <item x="86"/>
        <item x="246"/>
        <item x="178"/>
        <item x="378"/>
        <item x="64"/>
        <item x="94"/>
        <item x="45"/>
        <item x="70"/>
        <item x="217"/>
        <item x="131"/>
        <item x="182"/>
        <item x="39"/>
        <item x="166"/>
        <item x="186"/>
        <item x="315"/>
        <item x="72"/>
        <item x="307"/>
        <item x="395"/>
        <item x="258"/>
        <item x="115"/>
        <item x="119"/>
        <item x="133"/>
        <item x="172"/>
        <item x="116"/>
        <item x="88"/>
        <item x="365"/>
        <item x="6"/>
        <item x="56"/>
        <item x="345"/>
        <item x="236"/>
        <item x="138"/>
        <item x="143"/>
        <item x="305"/>
        <item x="7"/>
        <item x="148"/>
        <item x="411"/>
        <item x="313"/>
        <item x="203"/>
        <item x="103"/>
        <item x="248"/>
        <item x="336"/>
        <item x="366"/>
        <item x="97"/>
        <item x="386"/>
        <item x="44"/>
        <item x="309"/>
        <item x="259"/>
        <item x="18"/>
        <item x="98"/>
        <item x="48"/>
        <item x="289"/>
        <item x="409"/>
        <item x="43"/>
        <item x="280"/>
        <item x="197"/>
        <item x="376"/>
        <item x="69"/>
        <item x="223"/>
        <item x="283"/>
        <item x="58"/>
        <item x="303"/>
        <item x="129"/>
        <item x="390"/>
        <item x="243"/>
        <item x="87"/>
        <item x="171"/>
        <item x="292"/>
        <item x="85"/>
        <item x="293"/>
        <item x="38"/>
        <item x="22"/>
        <item x="273"/>
        <item x="65"/>
        <item x="177"/>
        <item x="184"/>
        <item x="341"/>
        <item x="57"/>
        <item x="40"/>
        <item x="175"/>
        <item x="407"/>
        <item x="77"/>
        <item x="399"/>
        <item x="161"/>
        <item x="200"/>
        <item x="239"/>
        <item x="214"/>
        <item x="384"/>
        <item x="340"/>
        <item x="144"/>
        <item x="350"/>
        <item x="81"/>
        <item x="352"/>
        <item x="287"/>
        <item x="130"/>
        <item x="250"/>
        <item x="276"/>
        <item x="55"/>
        <item x="12"/>
        <item x="328"/>
        <item x="319"/>
        <item x="29"/>
        <item x="387"/>
        <item x="264"/>
        <item x="225"/>
        <item x="109"/>
        <item x="89"/>
        <item x="322"/>
        <item x="300"/>
        <item x="240"/>
        <item x="331"/>
        <item x="262"/>
        <item x="330"/>
        <item x="361"/>
        <item x="95"/>
        <item x="219"/>
        <item x="68"/>
        <item x="212"/>
        <item x="140"/>
        <item x="174"/>
        <item x="180"/>
        <item x="216"/>
        <item x="0"/>
        <item x="3"/>
        <item x="191"/>
        <item x="312"/>
        <item x="201"/>
        <item x="111"/>
        <item x="154"/>
        <item x="134"/>
        <item x="16"/>
        <item x="364"/>
        <item x="167"/>
        <item x="255"/>
        <item x="210"/>
        <item x="105"/>
        <item x="311"/>
        <item x="169"/>
        <item x="316"/>
        <item x="329"/>
        <item x="114"/>
        <item x="233"/>
        <item x="302"/>
        <item x="242"/>
        <item x="194"/>
        <item x="398"/>
        <item x="185"/>
        <item x="198"/>
        <item x="338"/>
        <item x="270"/>
        <item x="19"/>
        <item x="42"/>
        <item x="170"/>
        <item x="229"/>
        <item x="382"/>
        <item x="80"/>
        <item x="335"/>
        <item x="209"/>
        <item x="295"/>
        <item x="391"/>
        <item x="326"/>
        <item x="402"/>
        <item x="79"/>
        <item x="371"/>
        <item x="158"/>
        <item x="296"/>
        <item x="206"/>
        <item x="360"/>
        <item x="164"/>
        <item x="337"/>
        <item x="325"/>
        <item x="74"/>
        <item x="410"/>
        <item x="104"/>
        <item x="199"/>
        <item x="101"/>
        <item x="235"/>
        <item x="218"/>
        <item x="274"/>
        <item x="356"/>
        <item x="281"/>
        <item x="247"/>
        <item x="53"/>
        <item x="367"/>
        <item x="49"/>
        <item x="162"/>
        <item x="368"/>
        <item x="35"/>
        <item x="211"/>
        <item x="354"/>
        <item x="205"/>
        <item x="139"/>
        <item x="135"/>
        <item x="269"/>
        <item x="75"/>
        <item x="181"/>
        <item x="310"/>
        <item x="232"/>
        <item x="13"/>
        <item x="249"/>
        <item x="263"/>
        <item x="379"/>
        <item x="342"/>
        <item x="348"/>
        <item x="231"/>
        <item x="358"/>
        <item x="237"/>
        <item x="33"/>
        <item x="159"/>
        <item x="228"/>
        <item x="123"/>
        <item x="157"/>
        <item x="92"/>
        <item x="61"/>
        <item x="268"/>
        <item x="163"/>
        <item x="152"/>
        <item x="122"/>
        <item x="100"/>
        <item x="25"/>
        <item x="244"/>
        <item x="8"/>
        <item x="406"/>
        <item x="220"/>
        <item x="298"/>
        <item x="412"/>
        <item x="383"/>
        <item x="137"/>
        <item x="413"/>
        <item x="388"/>
        <item x="405"/>
        <item x="24"/>
        <item x="20"/>
        <item x="373"/>
        <item x="34"/>
        <item x="353"/>
        <item x="17"/>
        <item x="332"/>
        <item x="183"/>
        <item x="125"/>
        <item x="320"/>
        <item x="297"/>
        <item x="222"/>
        <item x="117"/>
        <item x="317"/>
        <item x="294"/>
        <item x="363"/>
        <item x="267"/>
        <item x="26"/>
        <item x="299"/>
        <item x="213"/>
        <item x="393"/>
        <item x="277"/>
        <item x="52"/>
        <item x="93"/>
        <item x="254"/>
        <item x="107"/>
        <item x="173"/>
        <item x="10"/>
        <item x="282"/>
        <item x="275"/>
        <item x="381"/>
        <item x="91"/>
        <item x="208"/>
        <item x="14"/>
        <item x="59"/>
        <item x="253"/>
        <item x="112"/>
        <item x="301"/>
        <item x="370"/>
        <item x="196"/>
        <item x="401"/>
        <item x="318"/>
        <item x="408"/>
        <item x="344"/>
        <item x="245"/>
        <item x="308"/>
        <item x="155"/>
        <item x="165"/>
        <item x="189"/>
        <item x="176"/>
        <item x="241"/>
        <item x="124"/>
        <item x="168"/>
        <item x="47"/>
        <item x="252"/>
        <item x="90"/>
        <item x="1"/>
        <item x="271"/>
        <item x="284"/>
        <item x="362"/>
        <item x="2"/>
        <item x="339"/>
        <item x="251"/>
        <item x="372"/>
        <item x="62"/>
        <item x="21"/>
        <item x="150"/>
        <item x="179"/>
        <item x="151"/>
        <item x="397"/>
        <item x="202"/>
        <item x="11"/>
        <item x="375"/>
        <item x="60"/>
        <item x="291"/>
        <item x="142"/>
        <item x="377"/>
        <item x="396"/>
        <item x="265"/>
        <item x="27"/>
        <item x="227"/>
        <item x="321"/>
        <item x="31"/>
        <item x="230"/>
        <item x="141"/>
        <item x="146"/>
        <item x="369"/>
        <item x="385"/>
        <item x="404"/>
        <item x="234"/>
        <item x="333"/>
        <item x="145"/>
        <item x="132"/>
        <item x="257"/>
        <item x="256"/>
        <item x="15"/>
        <item x="37"/>
        <item x="286"/>
        <item x="9"/>
        <item x="343"/>
        <item x="207"/>
        <item x="221"/>
        <item x="334"/>
        <item x="23"/>
        <item x="323"/>
        <item x="347"/>
        <item x="147"/>
        <item x="380"/>
        <item x="195"/>
        <item x="192"/>
        <item x="272"/>
        <item x="187"/>
        <item x="226"/>
        <item x="83"/>
        <item x="306"/>
        <item x="84"/>
        <item x="4"/>
        <item x="128"/>
        <item x="99"/>
        <item x="346"/>
        <item x="106"/>
        <item x="314"/>
        <item t="default"/>
      </items>
    </pivotField>
    <pivotField showAll="0">
      <items count="2">
        <item x="0"/>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Sum of Budget Allocated" fld="7" baseField="0" baseItem="0"/>
    <dataField name="Sum of Budget Remaining" fld="8" baseField="0" baseItem="0"/>
  </dataFields>
  <formats count="3">
    <format dxfId="116">
      <pivotArea collapsedLevelsAreSubtotals="1" fieldPosition="0">
        <references count="2">
          <reference field="4294967294" count="1" selected="0">
            <x v="0"/>
          </reference>
          <reference field="1" count="0"/>
        </references>
      </pivotArea>
    </format>
    <format dxfId="117">
      <pivotArea collapsedLevelsAreSubtotals="1" fieldPosition="0">
        <references count="2">
          <reference field="4294967294" count="1" selected="0">
            <x v="1"/>
          </reference>
          <reference field="1" count="1">
            <x v="0"/>
          </reference>
        </references>
      </pivotArea>
    </format>
    <format dxfId="118">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CC1E9B2-63EA-4A2A-B245-FE05240B328C}" name="PivotTable2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6" firstHeaderRow="1" firstDataRow="1" firstDataCol="1"/>
  <pivotFields count="12">
    <pivotField dataField="1" showAll="0"/>
    <pivotField showAll="0">
      <items count="7">
        <item x="0"/>
        <item x="4"/>
        <item x="3"/>
        <item x="1"/>
        <item x="5"/>
        <item x="2"/>
        <item t="default"/>
      </items>
    </pivotField>
    <pivotField showAll="0">
      <items count="9">
        <item x="3"/>
        <item x="4"/>
        <item x="1"/>
        <item x="2"/>
        <item x="0"/>
        <item x="7"/>
        <item x="6"/>
        <item x="5"/>
        <item t="default"/>
      </items>
    </pivotField>
    <pivotField showAll="0"/>
    <pivotField showAll="0"/>
    <pivotField showAll="0">
      <items count="5">
        <item x="3"/>
        <item x="0"/>
        <item x="2"/>
        <item x="1"/>
        <item t="default"/>
      </items>
    </pivotField>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Expense 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AAF2A14-B8A1-46A8-8C6E-645D62CEF72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2">
    <pivotField showAll="0">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axis="axisRow" showAll="0">
      <items count="7">
        <item x="0"/>
        <item x="4"/>
        <item x="3"/>
        <item x="1"/>
        <item x="5"/>
        <item x="2"/>
        <item t="default"/>
      </items>
    </pivotField>
    <pivotField showAll="0">
      <items count="9">
        <item x="3"/>
        <item x="4"/>
        <item x="1"/>
        <item x="2"/>
        <item x="0"/>
        <item x="7"/>
        <item x="6"/>
        <item x="5"/>
        <item t="default"/>
      </items>
    </pivotField>
    <pivotField showAll="0">
      <items count="49">
        <item x="44"/>
        <item x="34"/>
        <item x="33"/>
        <item x="3"/>
        <item x="41"/>
        <item x="7"/>
        <item x="27"/>
        <item x="20"/>
        <item x="12"/>
        <item x="4"/>
        <item x="24"/>
        <item x="6"/>
        <item x="1"/>
        <item x="19"/>
        <item x="11"/>
        <item x="47"/>
        <item x="21"/>
        <item x="38"/>
        <item x="2"/>
        <item x="35"/>
        <item x="40"/>
        <item x="37"/>
        <item x="22"/>
        <item x="31"/>
        <item x="0"/>
        <item x="16"/>
        <item x="15"/>
        <item x="5"/>
        <item x="42"/>
        <item x="10"/>
        <item x="28"/>
        <item x="46"/>
        <item x="39"/>
        <item x="29"/>
        <item x="25"/>
        <item x="32"/>
        <item x="43"/>
        <item x="18"/>
        <item x="14"/>
        <item x="45"/>
        <item x="23"/>
        <item x="9"/>
        <item x="26"/>
        <item x="17"/>
        <item x="13"/>
        <item x="30"/>
        <item x="36"/>
        <item x="8"/>
        <item t="default"/>
      </items>
    </pivotField>
    <pivotField dataField="1" showAll="0"/>
    <pivotField showAll="0">
      <items count="5">
        <item x="3"/>
        <item x="0"/>
        <item x="2"/>
        <item x="1"/>
        <item t="default"/>
      </items>
    </pivotField>
    <pivotField showAll="0">
      <items count="3">
        <item x="1"/>
        <item x="0"/>
        <item t="default"/>
      </items>
    </pivotField>
    <pivotField showAll="0"/>
    <pivotField showAll="0"/>
    <pivotField showAll="0">
      <items count="11">
        <item x="1"/>
        <item x="3"/>
        <item x="9"/>
        <item x="8"/>
        <item x="2"/>
        <item x="0"/>
        <item x="4"/>
        <item x="5"/>
        <item x="6"/>
        <item x="7"/>
        <item t="default"/>
      </items>
    </pivotField>
    <pivotField showAll="0"/>
    <pivotField showAll="0">
      <items count="2">
        <item x="0"/>
        <item t="default"/>
      </items>
    </pivotField>
  </pivotFields>
  <rowFields count="1">
    <field x="1"/>
  </rowFields>
  <rowItems count="7">
    <i>
      <x/>
    </i>
    <i>
      <x v="1"/>
    </i>
    <i>
      <x v="2"/>
    </i>
    <i>
      <x v="3"/>
    </i>
    <i>
      <x v="4"/>
    </i>
    <i>
      <x v="5"/>
    </i>
    <i t="grand">
      <x/>
    </i>
  </rowItems>
  <colItems count="1">
    <i/>
  </colItems>
  <dataFields count="1">
    <dataField name="Sum of Amount (INR)" fld="4" baseField="1" baseItem="0" numFmtId="165"/>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2067703-EEDA-4B7D-8096-9638C22D2332}" name="PivotTable1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3:L22" firstHeaderRow="1" firstDataRow="1" firstDataCol="1"/>
  <pivotFields count="12">
    <pivotField dataField="1" showAll="0"/>
    <pivotField showAll="0">
      <items count="7">
        <item x="0"/>
        <item x="4"/>
        <item x="3"/>
        <item x="1"/>
        <item x="5"/>
        <item x="2"/>
        <item t="default"/>
      </items>
    </pivotField>
    <pivotField axis="axisRow" showAll="0">
      <items count="9">
        <item x="3"/>
        <item x="4"/>
        <item x="1"/>
        <item x="2"/>
        <item x="0"/>
        <item x="7"/>
        <item x="6"/>
        <item x="5"/>
        <item t="default"/>
      </items>
    </pivotField>
    <pivotField showAll="0"/>
    <pivotField showAll="0"/>
    <pivotField showAll="0">
      <items count="5">
        <item x="3"/>
        <item x="0"/>
        <item x="2"/>
        <item x="1"/>
        <item t="default"/>
      </items>
    </pivotField>
    <pivotField showAll="0">
      <items count="3">
        <item x="1"/>
        <item x="0"/>
        <item t="default"/>
      </items>
    </pivotField>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Expense ID" fld="0" subtotal="count" baseField="0" baseItem="0"/>
  </dataFields>
  <chartFormats count="9">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2" format="15">
      <pivotArea type="data" outline="0" fieldPosition="0">
        <references count="2">
          <reference field="4294967294" count="1" selected="0">
            <x v="0"/>
          </reference>
          <reference field="2" count="1" selected="0">
            <x v="4"/>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 chart="2" format="17">
      <pivotArea type="data" outline="0" fieldPosition="0">
        <references count="2">
          <reference field="4294967294" count="1" selected="0">
            <x v="0"/>
          </reference>
          <reference field="2" count="1" selected="0">
            <x v="6"/>
          </reference>
        </references>
      </pivotArea>
    </chartFormat>
    <chartFormat chart="2"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2011379-7B16-4A29-91C8-9A88EDB8FF29}" sourceName="Department">
  <pivotTables>
    <pivotTable tabId="2" name="PivotTable21"/>
    <pivotTable tabId="2" name="PivotTable1"/>
    <pivotTable tabId="2" name="PivotTable16"/>
    <pivotTable tabId="2" name="PivotTable18"/>
    <pivotTable tabId="2" name="PivotTable19"/>
    <pivotTable tabId="2" name="PivotTable20"/>
    <pivotTable tabId="2" name="PivotTable22"/>
    <pivotTable tabId="2" name="PivotTable23"/>
    <pivotTable tabId="2" name="PivotTable24"/>
    <pivotTable tabId="2" name="PivotTable26"/>
    <pivotTable tabId="2" name="PivotTable6"/>
    <pivotTable tabId="2" name="PivotTable7"/>
    <pivotTable tabId="2" name="PivotTable8"/>
  </pivotTables>
  <data>
    <tabular pivotCacheId="27554510">
      <items count="6">
        <i x="0" s="1"/>
        <i x="4" s="1"/>
        <i x="3"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91B5F86-AEA5-4C0E-A524-7AC03980BACD}" sourceName="Category">
  <pivotTables>
    <pivotTable tabId="2" name="PivotTable21"/>
    <pivotTable tabId="2" name="PivotTable1"/>
    <pivotTable tabId="2" name="PivotTable16"/>
    <pivotTable tabId="2" name="PivotTable18"/>
    <pivotTable tabId="2" name="PivotTable19"/>
    <pivotTable tabId="2" name="PivotTable20"/>
    <pivotTable tabId="2" name="PivotTable22"/>
    <pivotTable tabId="2" name="PivotTable23"/>
    <pivotTable tabId="2" name="PivotTable24"/>
    <pivotTable tabId="2" name="PivotTable26"/>
    <pivotTable tabId="2" name="PivotTable6"/>
    <pivotTable tabId="2" name="PivotTable7"/>
    <pivotTable tabId="2" name="PivotTable8"/>
  </pivotTables>
  <data>
    <tabular pivotCacheId="27554510">
      <items count="8">
        <i x="3" s="1"/>
        <i x="4" s="1"/>
        <i x="1" s="1"/>
        <i x="2" s="1"/>
        <i x="0" s="1"/>
        <i x="7"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C3BA64BC-0B43-40EE-A090-7434CAE70425}" sourceName="Payment Method">
  <pivotTables>
    <pivotTable tabId="2" name="PivotTable21"/>
    <pivotTable tabId="2" name="PivotTable1"/>
    <pivotTable tabId="2" name="PivotTable16"/>
    <pivotTable tabId="2" name="PivotTable18"/>
    <pivotTable tabId="2" name="PivotTable19"/>
    <pivotTable tabId="2" name="PivotTable20"/>
    <pivotTable tabId="2" name="PivotTable22"/>
    <pivotTable tabId="2" name="PivotTable23"/>
    <pivotTable tabId="2" name="PivotTable24"/>
    <pivotTable tabId="2" name="PivotTable26"/>
    <pivotTable tabId="2" name="PivotTable6"/>
    <pivotTable tabId="2" name="PivotTable7"/>
    <pivotTable tabId="2" name="PivotTable8"/>
    <pivotTable tabId="2" name="PivotTable28"/>
  </pivotTables>
  <data>
    <tabular pivotCacheId="27554510">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ed1" xr10:uid="{4CD0D5DB-5C6F-4E95-B065-BA883AD9D0A4}" sourceName="Approved">
  <pivotTables>
    <pivotTable tabId="2" name="PivotTable21"/>
    <pivotTable tabId="2" name="PivotTable1"/>
    <pivotTable tabId="2" name="PivotTable16"/>
    <pivotTable tabId="2" name="PivotTable18"/>
    <pivotTable tabId="2" name="PivotTable19"/>
    <pivotTable tabId="2" name="PivotTable20"/>
    <pivotTable tabId="2" name="PivotTable22"/>
    <pivotTable tabId="2" name="PivotTable23"/>
    <pivotTable tabId="2" name="PivotTable24"/>
    <pivotTable tabId="2" name="PivotTable26"/>
    <pivotTable tabId="2" name="PivotTable6"/>
    <pivotTable tabId="2" name="PivotTable7"/>
    <pivotTable tabId="2" name="PivotTable8"/>
  </pivotTables>
  <data>
    <tabular pivotCacheId="2755451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6A26C4-3978-43A0-9C58-7E0CB979478C}" sourceName="Department">
  <pivotTables>
    <pivotTable tabId="2" name="PivotTable14"/>
    <pivotTable tabId="2" name="PivotTable13"/>
    <pivotTable tabId="2" name="PivotTable15"/>
  </pivotTables>
  <data>
    <tabular pivotCacheId="1822208851">
      <items count="6">
        <i x="0" s="1"/>
        <i x="4" s="1"/>
        <i x="3" s="1"/>
        <i x="1" s="1"/>
        <i x="5"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45D2DA-02FF-4DE8-A835-57629133223E}" sourceName="Category">
  <pivotTables>
    <pivotTable tabId="2" name="PivotTable14"/>
    <pivotTable tabId="2" name="PivotTable13"/>
    <pivotTable tabId="2" name="PivotTable15"/>
  </pivotTables>
  <data>
    <tabular pivotCacheId="1822208851">
      <items count="8">
        <i x="3" s="1"/>
        <i x="4" s="1"/>
        <i x="1" s="1"/>
        <i x="2" s="1"/>
        <i x="0" s="1"/>
        <i x="7" s="1"/>
        <i x="6"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124A432-C3E4-44A2-BD09-B2C0F5C9227A}" sourceName="Payment Method">
  <pivotTables>
    <pivotTable tabId="2" name="PivotTable14"/>
    <pivotTable tabId="2" name="PivotTable13"/>
    <pivotTable tabId="2" name="PivotTable15"/>
  </pivotTables>
  <data>
    <tabular pivotCacheId="1822208851">
      <items count="4">
        <i x="3" s="1"/>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ed" xr10:uid="{01340B90-6C28-4FBE-B189-3E95146F04DE}" sourceName="Approved">
  <pivotTables>
    <pivotTable tabId="2" name="PivotTable14"/>
    <pivotTable tabId="2" name="PivotTable13"/>
    <pivotTable tabId="2" name="PivotTable15"/>
  </pivotTables>
  <data>
    <tabular pivotCacheId="18222088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98747E76-B283-4720-A196-45206AF834E8}" cache="Slicer_Department1" caption="Department" columnCount="2" style="SlicerStyleOther1" rowHeight="247650"/>
  <slicer name="Category 2" xr10:uid="{31E6F96E-FA2A-4263-AFD1-8B46A6CA9052}" cache="Slicer_Category1" caption="Category" style="SlicerStyleOther1" rowHeight="252000"/>
  <slicer name="Payment Method 2" xr10:uid="{99A2B6D1-05C3-4E6A-BC47-994F1487D646}" cache="Slicer_Payment_Method1" caption="Payment Method" columnCount="2" style="SlicerStyleOther1" rowHeight="247650"/>
  <slicer name="Approved 2" xr10:uid="{A190684C-7240-428D-AABC-96AF3DED3261}" cache="Slicer_Approved1" caption="Approved" columnCount="2"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1E62734-2A2F-4D81-A555-305430E4CF38}" cache="Slicer_Department" caption="Department" rowHeight="247650"/>
  <slicer name="Category" xr10:uid="{11B1C5C0-A340-464D-A9AC-596FC2A898DD}" cache="Slicer_Category" caption="Category" rowHeight="247650"/>
  <slicer name="Payment Method" xr10:uid="{3C18F090-5307-448D-B731-388C9E9DFE82}" cache="Slicer_Payment_Method" caption="Payment Method" rowHeight="247650"/>
  <slicer name="Approved" xr10:uid="{46C5D3E1-1ECB-4268-8879-3564F5A9EB8B}" cache="Slicer_Approved" caption="Approved"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934A76E-4602-4898-8F7D-B0C7CB3688C2}" cache="Slicer_Department1" caption="Department" columnCount="2" rowHeight="247650"/>
  <slicer name="Category 1" xr10:uid="{33AE0124-EDE4-4176-84A9-B712BC6A729F}" cache="Slicer_Category1" caption="Category" rowHeight="247650"/>
  <slicer name="Payment Method 1" xr10:uid="{4BAEF300-C893-40D4-9256-ED2B872702A1}" cache="Slicer_Payment_Method1" caption="Payment Method" columnCount="2" rowHeight="247650"/>
  <slicer name="Approved 1" xr10:uid="{8F7E02B1-3F7E-4F37-99F2-2B28D6B673C9}" cache="Slicer_Approved1" caption="Approved"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8888DA-9609-47B6-B4E1-4A4C6947D9BF}" name="Table1" displayName="Table1" ref="A1:M416" totalsRowShown="0">
  <autoFilter ref="A1:M416" xr:uid="{8C73C1E6-2CE5-46DF-B1BA-15ED07CD01B4}"/>
  <sortState xmlns:xlrd2="http://schemas.microsoft.com/office/spreadsheetml/2017/richdata2" ref="A2:L416">
    <sortCondition ref="A1:A416"/>
  </sortState>
  <tableColumns count="13">
    <tableColumn id="1" xr3:uid="{2BD139FC-F8EF-4717-98BA-6186C20024FA}" name="Expense ID"/>
    <tableColumn id="3" xr3:uid="{96040E7F-D129-40C0-B26B-BC41CA7DDE35}" name="Department"/>
    <tableColumn id="4" xr3:uid="{68562483-C0E2-4AD3-A4B4-F1B7B4BBEF7E}" name="Category"/>
    <tableColumn id="5" xr3:uid="{70466FAD-E9E1-4836-B70A-236BE3D3223F}" name="Description"/>
    <tableColumn id="6" xr3:uid="{0D7D871C-943C-4133-B1AB-3D404529890F}" name="Amount (INR)"/>
    <tableColumn id="7" xr3:uid="{05BC8E67-F8AA-4F9B-9012-E6491D012D0E}" name="Payment Method"/>
    <tableColumn id="8" xr3:uid="{8B60B1E5-0E86-403B-AF25-62DFC7AFFAB6}" name="Approved"/>
    <tableColumn id="9" xr3:uid="{F2490691-4C79-40D9-A095-F742AFB6EAB2}" name="Budget Allocated"/>
    <tableColumn id="10" xr3:uid="{5166F436-B2F5-4E44-A22D-136A03F53112}" name="Budget Remaining"/>
    <tableColumn id="11" xr3:uid="{D6A31D80-655A-4D96-B6B7-4D1134E11535}" name="Vendor Name"/>
    <tableColumn id="12" xr3:uid="{DCE22DD0-8964-4DDA-9DB7-C0019139B30A}" name="Invoice Number"/>
    <tableColumn id="13" xr3:uid="{69A5DFE6-2174-431C-A078-5BBDEAD4C4ED}" name="Month" dataDxfId="127">
      <calculatedColumnFormula>SUBSTITUTE(2026,1,1)</calculatedColumnFormula>
    </tableColumn>
    <tableColumn id="2" xr3:uid="{457DA5E4-367D-44F8-BCA1-B3D30C31D0E9}" name="Budget Status" dataDxfId="122">
      <calculatedColumnFormula>IF(Table1[[#This Row],[Budget Remaining]]&gt;40000,"Safe",IF(Table1[[#This Row],[Budget Remaining]]&gt;20000,"Managed",IF(Table1[[#This Row],[Budget Remaining]]&gt;5000,"Critical","Refill")))</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56E9-9AA7-49C6-8F33-306B3ECF8B55}">
  <sheetPr codeName="Sheet1"/>
  <dimension ref="A1:M416"/>
  <sheetViews>
    <sheetView topLeftCell="A2" workbookViewId="0">
      <selection activeCell="C11" sqref="A2:M416"/>
    </sheetView>
  </sheetViews>
  <sheetFormatPr defaultRowHeight="14.4" x14ac:dyDescent="0.3"/>
  <cols>
    <col min="1" max="1" width="12.21875" bestFit="1" customWidth="1"/>
    <col min="2" max="2" width="13.21875" bestFit="1" customWidth="1"/>
    <col min="3" max="3" width="13.109375" bestFit="1" customWidth="1"/>
    <col min="4" max="4" width="31.21875" bestFit="1" customWidth="1"/>
    <col min="5" max="5" width="14.33203125" bestFit="1" customWidth="1"/>
    <col min="6" max="6" width="17.21875" bestFit="1" customWidth="1"/>
    <col min="7" max="7" width="11.21875" bestFit="1" customWidth="1"/>
    <col min="8" max="8" width="17.44140625" bestFit="1" customWidth="1"/>
    <col min="9" max="9" width="18.21875" bestFit="1" customWidth="1"/>
    <col min="10" max="10" width="17.5546875" bestFit="1" customWidth="1"/>
    <col min="11" max="11" width="16.44140625" bestFit="1" customWidth="1"/>
    <col min="12" max="12" width="8.33203125" bestFit="1" customWidth="1"/>
    <col min="13" max="13" width="17.5546875" customWidth="1"/>
  </cols>
  <sheetData>
    <row r="1" spans="1:13" x14ac:dyDescent="0.3">
      <c r="A1" t="s">
        <v>917</v>
      </c>
      <c r="B1" t="s">
        <v>916</v>
      </c>
      <c r="C1" s="1" t="s">
        <v>915</v>
      </c>
      <c r="D1" t="s">
        <v>914</v>
      </c>
      <c r="E1" t="s">
        <v>913</v>
      </c>
      <c r="F1" t="s">
        <v>912</v>
      </c>
      <c r="G1" t="s">
        <v>911</v>
      </c>
      <c r="H1" t="s">
        <v>910</v>
      </c>
      <c r="I1" t="s">
        <v>909</v>
      </c>
      <c r="J1" t="s">
        <v>908</v>
      </c>
      <c r="K1" t="s">
        <v>907</v>
      </c>
      <c r="L1" t="s">
        <v>906</v>
      </c>
      <c r="M1" t="s">
        <v>928</v>
      </c>
    </row>
    <row r="2" spans="1:13" x14ac:dyDescent="0.3">
      <c r="A2" t="s">
        <v>905</v>
      </c>
      <c r="B2" t="s">
        <v>105</v>
      </c>
      <c r="C2" t="s">
        <v>5</v>
      </c>
      <c r="D2" t="s">
        <v>194</v>
      </c>
      <c r="E2">
        <v>7099</v>
      </c>
      <c r="F2" t="s">
        <v>10</v>
      </c>
      <c r="G2" t="s">
        <v>2</v>
      </c>
      <c r="H2">
        <v>8386</v>
      </c>
      <c r="I2">
        <v>1287</v>
      </c>
      <c r="J2" t="s">
        <v>100</v>
      </c>
      <c r="K2" t="s">
        <v>904</v>
      </c>
      <c r="L2" t="str">
        <f>SUBSTITUTE(2026,1,1)</f>
        <v>2026</v>
      </c>
      <c r="M2" t="str">
        <f>IF(Table1[[#This Row],[Budget Remaining]]&gt;40000,"Safe",IF(Table1[[#This Row],[Budget Remaining]]&gt;20000,"Managed",IF(Table1[[#This Row],[Budget Remaining]]&gt;5000,"Critical","Refill")))</f>
        <v>Refill</v>
      </c>
    </row>
    <row r="3" spans="1:13" x14ac:dyDescent="0.3">
      <c r="A3" t="s">
        <v>903</v>
      </c>
      <c r="B3" t="s">
        <v>105</v>
      </c>
      <c r="C3" t="s">
        <v>41</v>
      </c>
      <c r="D3" t="s">
        <v>340</v>
      </c>
      <c r="E3">
        <v>37909</v>
      </c>
      <c r="F3" t="s">
        <v>19</v>
      </c>
      <c r="G3" t="s">
        <v>2</v>
      </c>
      <c r="H3">
        <v>39147</v>
      </c>
      <c r="I3">
        <v>1238</v>
      </c>
      <c r="J3" t="s">
        <v>100</v>
      </c>
      <c r="K3" t="s">
        <v>902</v>
      </c>
      <c r="L3" t="str">
        <f t="shared" ref="L3:L65" si="0">SUBSTITUTE(2026,1,1)</f>
        <v>2026</v>
      </c>
      <c r="M3" t="str">
        <f>IF(Table1[[#This Row],[Budget Remaining]]&gt;40000,"Safe",IF(Table1[[#This Row],[Budget Remaining]]&gt;20000,"Managed",IF(Table1[[#This Row],[Budget Remaining]]&gt;5000,"Critical","Refill")))</f>
        <v>Refill</v>
      </c>
    </row>
    <row r="4" spans="1:13" x14ac:dyDescent="0.3">
      <c r="A4" t="s">
        <v>901</v>
      </c>
      <c r="B4" t="s">
        <v>105</v>
      </c>
      <c r="C4" t="s">
        <v>21</v>
      </c>
      <c r="D4" t="s">
        <v>104</v>
      </c>
      <c r="E4">
        <v>5729</v>
      </c>
      <c r="F4" t="s">
        <v>10</v>
      </c>
      <c r="G4" t="s">
        <v>2</v>
      </c>
      <c r="H4">
        <v>8391</v>
      </c>
      <c r="I4">
        <v>2662</v>
      </c>
      <c r="J4" t="s">
        <v>51</v>
      </c>
      <c r="K4" t="s">
        <v>900</v>
      </c>
      <c r="L4" t="str">
        <f t="shared" si="0"/>
        <v>2026</v>
      </c>
      <c r="M4" t="str">
        <f>IF(Table1[[#This Row],[Budget Remaining]]&gt;40000,"Safe",IF(Table1[[#This Row],[Budget Remaining]]&gt;20000,"Managed",IF(Table1[[#This Row],[Budget Remaining]]&gt;5000,"Critical","Refill")))</f>
        <v>Refill</v>
      </c>
    </row>
    <row r="5" spans="1:13" x14ac:dyDescent="0.3">
      <c r="A5" t="s">
        <v>899</v>
      </c>
      <c r="B5" t="s">
        <v>41</v>
      </c>
      <c r="C5" t="s">
        <v>26</v>
      </c>
      <c r="D5" t="s">
        <v>97</v>
      </c>
      <c r="E5">
        <v>21974</v>
      </c>
      <c r="F5" t="s">
        <v>10</v>
      </c>
      <c r="G5" t="s">
        <v>2</v>
      </c>
      <c r="H5">
        <v>22502</v>
      </c>
      <c r="I5">
        <v>528</v>
      </c>
      <c r="J5" t="s">
        <v>30</v>
      </c>
      <c r="K5" t="s">
        <v>898</v>
      </c>
      <c r="L5" t="str">
        <f t="shared" si="0"/>
        <v>2026</v>
      </c>
      <c r="M5" t="str">
        <f>IF(Table1[[#This Row],[Budget Remaining]]&gt;40000,"Safe",IF(Table1[[#This Row],[Budget Remaining]]&gt;20000,"Managed",IF(Table1[[#This Row],[Budget Remaining]]&gt;5000,"Critical","Refill")))</f>
        <v>Refill</v>
      </c>
    </row>
    <row r="6" spans="1:13" x14ac:dyDescent="0.3">
      <c r="A6" t="s">
        <v>897</v>
      </c>
      <c r="B6" t="s">
        <v>41</v>
      </c>
      <c r="C6" s="1" t="s">
        <v>12</v>
      </c>
      <c r="D6" t="s">
        <v>91</v>
      </c>
      <c r="E6">
        <v>70564</v>
      </c>
      <c r="F6" t="s">
        <v>35</v>
      </c>
      <c r="G6" t="s">
        <v>2</v>
      </c>
      <c r="H6">
        <v>77440</v>
      </c>
      <c r="I6">
        <v>6876</v>
      </c>
      <c r="J6" t="s">
        <v>9</v>
      </c>
      <c r="K6" t="s">
        <v>896</v>
      </c>
      <c r="L6" t="str">
        <f t="shared" si="0"/>
        <v>2026</v>
      </c>
      <c r="M6" t="str">
        <f>IF(Table1[[#This Row],[Budget Remaining]]&gt;40000,"Safe",IF(Table1[[#This Row],[Budget Remaining]]&gt;20000,"Managed",IF(Table1[[#This Row],[Budget Remaining]]&gt;5000,"Critical","Refill")))</f>
        <v>Critical</v>
      </c>
    </row>
    <row r="7" spans="1:13" x14ac:dyDescent="0.3">
      <c r="A7" t="s">
        <v>895</v>
      </c>
      <c r="B7" t="s">
        <v>41</v>
      </c>
      <c r="C7" t="s">
        <v>5</v>
      </c>
      <c r="D7" t="s">
        <v>175</v>
      </c>
      <c r="E7">
        <v>23713</v>
      </c>
      <c r="F7" t="s">
        <v>19</v>
      </c>
      <c r="G7" t="s">
        <v>24</v>
      </c>
      <c r="H7">
        <v>28542</v>
      </c>
      <c r="I7">
        <v>4829</v>
      </c>
      <c r="J7" t="s">
        <v>9</v>
      </c>
      <c r="K7" t="s">
        <v>894</v>
      </c>
      <c r="L7" t="str">
        <f>SUBSTITUTE(2025,1,1)</f>
        <v>2025</v>
      </c>
      <c r="M7" t="str">
        <f>IF(Table1[[#This Row],[Budget Remaining]]&gt;40000,"Safe",IF(Table1[[#This Row],[Budget Remaining]]&gt;20000,"Managed",IF(Table1[[#This Row],[Budget Remaining]]&gt;5000,"Critical","Refill")))</f>
        <v>Refill</v>
      </c>
    </row>
    <row r="8" spans="1:13" x14ac:dyDescent="0.3">
      <c r="A8" t="s">
        <v>893</v>
      </c>
      <c r="B8" t="s">
        <v>80</v>
      </c>
      <c r="C8" s="1" t="s">
        <v>12</v>
      </c>
      <c r="D8" t="s">
        <v>312</v>
      </c>
      <c r="E8">
        <v>67515</v>
      </c>
      <c r="F8" t="s">
        <v>19</v>
      </c>
      <c r="G8" t="s">
        <v>2</v>
      </c>
      <c r="H8">
        <v>87309</v>
      </c>
      <c r="I8">
        <v>19794</v>
      </c>
      <c r="J8" t="s">
        <v>9</v>
      </c>
      <c r="K8" t="s">
        <v>892</v>
      </c>
      <c r="L8" t="str">
        <f t="shared" si="0"/>
        <v>2026</v>
      </c>
      <c r="M8" t="str">
        <f>IF(Table1[[#This Row],[Budget Remaining]]&gt;40000,"Safe",IF(Table1[[#This Row],[Budget Remaining]]&gt;20000,"Managed",IF(Table1[[#This Row],[Budget Remaining]]&gt;5000,"Critical","Refill")))</f>
        <v>Critical</v>
      </c>
    </row>
    <row r="9" spans="1:13" x14ac:dyDescent="0.3">
      <c r="A9" t="s">
        <v>891</v>
      </c>
      <c r="B9" t="s">
        <v>80</v>
      </c>
      <c r="C9" t="s">
        <v>26</v>
      </c>
      <c r="D9" t="s">
        <v>315</v>
      </c>
      <c r="E9">
        <v>30644</v>
      </c>
      <c r="F9" t="s">
        <v>3</v>
      </c>
      <c r="G9" t="s">
        <v>2</v>
      </c>
      <c r="H9">
        <v>44207</v>
      </c>
      <c r="I9">
        <v>13563</v>
      </c>
      <c r="J9" t="s">
        <v>9</v>
      </c>
      <c r="K9" t="s">
        <v>890</v>
      </c>
      <c r="L9" t="str">
        <f t="shared" si="0"/>
        <v>2026</v>
      </c>
      <c r="M9" t="str">
        <f>IF(Table1[[#This Row],[Budget Remaining]]&gt;40000,"Safe",IF(Table1[[#This Row],[Budget Remaining]]&gt;20000,"Managed",IF(Table1[[#This Row],[Budget Remaining]]&gt;5000,"Critical","Refill")))</f>
        <v>Critical</v>
      </c>
    </row>
    <row r="10" spans="1:13" x14ac:dyDescent="0.3">
      <c r="A10" t="s">
        <v>889</v>
      </c>
      <c r="B10" t="s">
        <v>80</v>
      </c>
      <c r="C10" t="s">
        <v>32</v>
      </c>
      <c r="D10" t="s">
        <v>164</v>
      </c>
      <c r="E10">
        <v>8331</v>
      </c>
      <c r="F10" t="s">
        <v>10</v>
      </c>
      <c r="G10" t="s">
        <v>2</v>
      </c>
      <c r="H10">
        <v>11602</v>
      </c>
      <c r="I10">
        <v>3271</v>
      </c>
      <c r="J10" t="s">
        <v>51</v>
      </c>
      <c r="K10" t="s">
        <v>888</v>
      </c>
      <c r="L10" t="str">
        <f t="shared" si="0"/>
        <v>2026</v>
      </c>
      <c r="M10" t="str">
        <f>IF(Table1[[#This Row],[Budget Remaining]]&gt;40000,"Safe",IF(Table1[[#This Row],[Budget Remaining]]&gt;20000,"Managed",IF(Table1[[#This Row],[Budget Remaining]]&gt;5000,"Critical","Refill")))</f>
        <v>Refill</v>
      </c>
    </row>
    <row r="11" spans="1:13" x14ac:dyDescent="0.3">
      <c r="A11" t="s">
        <v>887</v>
      </c>
      <c r="B11" t="s">
        <v>80</v>
      </c>
      <c r="C11" t="s">
        <v>37</v>
      </c>
      <c r="D11" t="s">
        <v>459</v>
      </c>
      <c r="E11">
        <v>55807</v>
      </c>
      <c r="F11" t="s">
        <v>19</v>
      </c>
      <c r="G11" t="s">
        <v>2</v>
      </c>
      <c r="H11">
        <v>62479</v>
      </c>
      <c r="I11">
        <v>6672</v>
      </c>
      <c r="J11" t="s">
        <v>51</v>
      </c>
      <c r="K11" t="s">
        <v>886</v>
      </c>
      <c r="L11" t="str">
        <f t="shared" si="0"/>
        <v>2026</v>
      </c>
      <c r="M11" t="str">
        <f>IF(Table1[[#This Row],[Budget Remaining]]&gt;40000,"Safe",IF(Table1[[#This Row],[Budget Remaining]]&gt;20000,"Managed",IF(Table1[[#This Row],[Budget Remaining]]&gt;5000,"Critical","Refill")))</f>
        <v>Critical</v>
      </c>
    </row>
    <row r="12" spans="1:13" x14ac:dyDescent="0.3">
      <c r="A12" t="s">
        <v>885</v>
      </c>
      <c r="B12" t="s">
        <v>80</v>
      </c>
      <c r="C12" t="s">
        <v>26</v>
      </c>
      <c r="D12" t="s">
        <v>315</v>
      </c>
      <c r="E12">
        <v>35534</v>
      </c>
      <c r="F12" t="s">
        <v>10</v>
      </c>
      <c r="G12" t="s">
        <v>24</v>
      </c>
      <c r="H12">
        <v>49832</v>
      </c>
      <c r="I12">
        <v>14298</v>
      </c>
      <c r="J12" t="s">
        <v>67</v>
      </c>
      <c r="K12" t="s">
        <v>884</v>
      </c>
      <c r="L12" t="str">
        <f t="shared" si="0"/>
        <v>2026</v>
      </c>
      <c r="M12" t="str">
        <f>IF(Table1[[#This Row],[Budget Remaining]]&gt;40000,"Safe",IF(Table1[[#This Row],[Budget Remaining]]&gt;20000,"Managed",IF(Table1[[#This Row],[Budget Remaining]]&gt;5000,"Critical","Refill")))</f>
        <v>Critical</v>
      </c>
    </row>
    <row r="13" spans="1:13" x14ac:dyDescent="0.3">
      <c r="A13" t="s">
        <v>883</v>
      </c>
      <c r="B13" t="s">
        <v>80</v>
      </c>
      <c r="C13" t="s">
        <v>5</v>
      </c>
      <c r="D13" t="s">
        <v>235</v>
      </c>
      <c r="E13">
        <v>31806</v>
      </c>
      <c r="F13" t="s">
        <v>3</v>
      </c>
      <c r="G13" t="s">
        <v>2</v>
      </c>
      <c r="H13">
        <v>36795</v>
      </c>
      <c r="I13">
        <v>4989</v>
      </c>
      <c r="J13" t="s">
        <v>15</v>
      </c>
      <c r="K13" t="s">
        <v>882</v>
      </c>
      <c r="L13" t="str">
        <f t="shared" si="0"/>
        <v>2026</v>
      </c>
      <c r="M13" t="str">
        <f>IF(Table1[[#This Row],[Budget Remaining]]&gt;40000,"Safe",IF(Table1[[#This Row],[Budget Remaining]]&gt;20000,"Managed",IF(Table1[[#This Row],[Budget Remaining]]&gt;5000,"Critical","Refill")))</f>
        <v>Refill</v>
      </c>
    </row>
    <row r="14" spans="1:13" x14ac:dyDescent="0.3">
      <c r="A14" t="s">
        <v>881</v>
      </c>
      <c r="B14" t="s">
        <v>80</v>
      </c>
      <c r="C14" t="s">
        <v>32</v>
      </c>
      <c r="D14" t="s">
        <v>164</v>
      </c>
      <c r="E14">
        <v>6789</v>
      </c>
      <c r="F14" t="s">
        <v>35</v>
      </c>
      <c r="G14" t="s">
        <v>2</v>
      </c>
      <c r="H14">
        <v>7092</v>
      </c>
      <c r="I14">
        <v>303</v>
      </c>
      <c r="J14" t="s">
        <v>44</v>
      </c>
      <c r="K14" t="s">
        <v>880</v>
      </c>
      <c r="L14" t="str">
        <f t="shared" si="0"/>
        <v>2026</v>
      </c>
      <c r="M14" t="str">
        <f>IF(Table1[[#This Row],[Budget Remaining]]&gt;40000,"Safe",IF(Table1[[#This Row],[Budget Remaining]]&gt;20000,"Managed",IF(Table1[[#This Row],[Budget Remaining]]&gt;5000,"Critical","Refill")))</f>
        <v>Refill</v>
      </c>
    </row>
    <row r="15" spans="1:13" x14ac:dyDescent="0.3">
      <c r="A15" t="s">
        <v>879</v>
      </c>
      <c r="B15" t="s">
        <v>55</v>
      </c>
      <c r="C15" t="s">
        <v>41</v>
      </c>
      <c r="D15" t="s">
        <v>58</v>
      </c>
      <c r="E15">
        <v>42497</v>
      </c>
      <c r="F15" t="s">
        <v>19</v>
      </c>
      <c r="G15" t="s">
        <v>2</v>
      </c>
      <c r="H15">
        <v>63144</v>
      </c>
      <c r="I15">
        <v>20647</v>
      </c>
      <c r="J15" t="s">
        <v>15</v>
      </c>
      <c r="K15" t="s">
        <v>878</v>
      </c>
      <c r="L15" t="str">
        <f t="shared" si="0"/>
        <v>2026</v>
      </c>
      <c r="M15" t="str">
        <f>IF(Table1[[#This Row],[Budget Remaining]]&gt;40000,"Safe",IF(Table1[[#This Row],[Budget Remaining]]&gt;20000,"Managed",IF(Table1[[#This Row],[Budget Remaining]]&gt;5000,"Critical","Refill")))</f>
        <v>Managed</v>
      </c>
    </row>
    <row r="16" spans="1:13" x14ac:dyDescent="0.3">
      <c r="A16" t="s">
        <v>877</v>
      </c>
      <c r="B16" t="s">
        <v>55</v>
      </c>
      <c r="C16" s="1" t="s">
        <v>12</v>
      </c>
      <c r="D16" t="s">
        <v>153</v>
      </c>
      <c r="E16">
        <v>117328</v>
      </c>
      <c r="F16" t="s">
        <v>3</v>
      </c>
      <c r="G16" t="s">
        <v>2</v>
      </c>
      <c r="H16">
        <v>153681</v>
      </c>
      <c r="I16">
        <v>36353</v>
      </c>
      <c r="J16" t="s">
        <v>30</v>
      </c>
      <c r="K16" t="s">
        <v>876</v>
      </c>
      <c r="L16" t="str">
        <f t="shared" si="0"/>
        <v>2026</v>
      </c>
      <c r="M16" t="str">
        <f>IF(Table1[[#This Row],[Budget Remaining]]&gt;40000,"Safe",IF(Table1[[#This Row],[Budget Remaining]]&gt;20000,"Managed",IF(Table1[[#This Row],[Budget Remaining]]&gt;5000,"Critical","Refill")))</f>
        <v>Managed</v>
      </c>
    </row>
    <row r="17" spans="1:13" x14ac:dyDescent="0.3">
      <c r="A17" t="s">
        <v>875</v>
      </c>
      <c r="B17" t="s">
        <v>55</v>
      </c>
      <c r="C17" t="s">
        <v>32</v>
      </c>
      <c r="D17" t="s">
        <v>64</v>
      </c>
      <c r="E17">
        <v>7122</v>
      </c>
      <c r="F17" t="s">
        <v>35</v>
      </c>
      <c r="G17" t="s">
        <v>2</v>
      </c>
      <c r="H17">
        <v>7419</v>
      </c>
      <c r="I17">
        <v>297</v>
      </c>
      <c r="J17" t="s">
        <v>1</v>
      </c>
      <c r="K17" t="s">
        <v>874</v>
      </c>
      <c r="L17" t="str">
        <f t="shared" si="0"/>
        <v>2026</v>
      </c>
      <c r="M17" t="str">
        <f>IF(Table1[[#This Row],[Budget Remaining]]&gt;40000,"Safe",IF(Table1[[#This Row],[Budget Remaining]]&gt;20000,"Managed",IF(Table1[[#This Row],[Budget Remaining]]&gt;5000,"Critical","Refill")))</f>
        <v>Refill</v>
      </c>
    </row>
    <row r="18" spans="1:13" x14ac:dyDescent="0.3">
      <c r="A18" t="s">
        <v>873</v>
      </c>
      <c r="B18" t="s">
        <v>55</v>
      </c>
      <c r="C18" t="s">
        <v>37</v>
      </c>
      <c r="D18" t="s">
        <v>54</v>
      </c>
      <c r="E18">
        <v>37088</v>
      </c>
      <c r="F18" t="s">
        <v>19</v>
      </c>
      <c r="G18" t="s">
        <v>2</v>
      </c>
      <c r="H18">
        <v>50064</v>
      </c>
      <c r="I18">
        <v>12976</v>
      </c>
      <c r="J18" t="s">
        <v>67</v>
      </c>
      <c r="K18" t="s">
        <v>872</v>
      </c>
      <c r="L18" t="str">
        <f t="shared" si="0"/>
        <v>2026</v>
      </c>
      <c r="M18" t="str">
        <f>IF(Table1[[#This Row],[Budget Remaining]]&gt;40000,"Safe",IF(Table1[[#This Row],[Budget Remaining]]&gt;20000,"Managed",IF(Table1[[#This Row],[Budget Remaining]]&gt;5000,"Critical","Refill")))</f>
        <v>Critical</v>
      </c>
    </row>
    <row r="19" spans="1:13" x14ac:dyDescent="0.3">
      <c r="A19" t="s">
        <v>871</v>
      </c>
      <c r="B19" t="s">
        <v>55</v>
      </c>
      <c r="C19" s="1" t="s">
        <v>12</v>
      </c>
      <c r="D19" t="s">
        <v>153</v>
      </c>
      <c r="E19">
        <v>25736</v>
      </c>
      <c r="F19" t="s">
        <v>19</v>
      </c>
      <c r="G19" t="s">
        <v>2</v>
      </c>
      <c r="H19">
        <v>33072</v>
      </c>
      <c r="I19">
        <v>7336</v>
      </c>
      <c r="J19" t="s">
        <v>83</v>
      </c>
      <c r="K19" t="s">
        <v>870</v>
      </c>
      <c r="L19" t="str">
        <f t="shared" si="0"/>
        <v>2026</v>
      </c>
      <c r="M19" t="str">
        <f>IF(Table1[[#This Row],[Budget Remaining]]&gt;40000,"Safe",IF(Table1[[#This Row],[Budget Remaining]]&gt;20000,"Managed",IF(Table1[[#This Row],[Budget Remaining]]&gt;5000,"Critical","Refill")))</f>
        <v>Critical</v>
      </c>
    </row>
    <row r="20" spans="1:13" x14ac:dyDescent="0.3">
      <c r="A20" t="s">
        <v>869</v>
      </c>
      <c r="B20" t="s">
        <v>55</v>
      </c>
      <c r="C20" t="s">
        <v>5</v>
      </c>
      <c r="D20" t="s">
        <v>74</v>
      </c>
      <c r="E20">
        <v>24867</v>
      </c>
      <c r="F20" t="s">
        <v>35</v>
      </c>
      <c r="G20" t="s">
        <v>2</v>
      </c>
      <c r="H20">
        <v>30659</v>
      </c>
      <c r="I20">
        <v>5792</v>
      </c>
      <c r="J20" t="s">
        <v>67</v>
      </c>
      <c r="K20" t="s">
        <v>868</v>
      </c>
      <c r="L20" t="str">
        <f t="shared" si="0"/>
        <v>2026</v>
      </c>
      <c r="M20" t="str">
        <f>IF(Table1[[#This Row],[Budget Remaining]]&gt;40000,"Safe",IF(Table1[[#This Row],[Budget Remaining]]&gt;20000,"Managed",IF(Table1[[#This Row],[Budget Remaining]]&gt;5000,"Critical","Refill")))</f>
        <v>Critical</v>
      </c>
    </row>
    <row r="21" spans="1:13" x14ac:dyDescent="0.3">
      <c r="A21" t="s">
        <v>867</v>
      </c>
      <c r="B21" t="s">
        <v>27</v>
      </c>
      <c r="C21" t="s">
        <v>5</v>
      </c>
      <c r="D21" t="s">
        <v>48</v>
      </c>
      <c r="E21">
        <v>28014</v>
      </c>
      <c r="F21" t="s">
        <v>35</v>
      </c>
      <c r="G21" t="s">
        <v>2</v>
      </c>
      <c r="H21">
        <v>38774</v>
      </c>
      <c r="I21">
        <v>10760</v>
      </c>
      <c r="J21" t="s">
        <v>67</v>
      </c>
      <c r="K21" t="s">
        <v>866</v>
      </c>
      <c r="L21" t="str">
        <f t="shared" si="0"/>
        <v>2026</v>
      </c>
      <c r="M21" t="str">
        <f>IF(Table1[[#This Row],[Budget Remaining]]&gt;40000,"Safe",IF(Table1[[#This Row],[Budget Remaining]]&gt;20000,"Managed",IF(Table1[[#This Row],[Budget Remaining]]&gt;5000,"Critical","Refill")))</f>
        <v>Critical</v>
      </c>
    </row>
    <row r="22" spans="1:13" x14ac:dyDescent="0.3">
      <c r="A22" t="s">
        <v>865</v>
      </c>
      <c r="B22" t="s">
        <v>27</v>
      </c>
      <c r="C22" t="s">
        <v>32</v>
      </c>
      <c r="D22" t="s">
        <v>31</v>
      </c>
      <c r="E22">
        <v>10901</v>
      </c>
      <c r="F22" t="s">
        <v>35</v>
      </c>
      <c r="G22" t="s">
        <v>2</v>
      </c>
      <c r="H22">
        <v>13552</v>
      </c>
      <c r="I22">
        <v>2651</v>
      </c>
      <c r="J22" t="s">
        <v>15</v>
      </c>
      <c r="K22" t="s">
        <v>864</v>
      </c>
      <c r="L22" t="str">
        <f t="shared" si="0"/>
        <v>2026</v>
      </c>
      <c r="M22" t="str">
        <f>IF(Table1[[#This Row],[Budget Remaining]]&gt;40000,"Safe",IF(Table1[[#This Row],[Budget Remaining]]&gt;20000,"Managed",IF(Table1[[#This Row],[Budget Remaining]]&gt;5000,"Critical","Refill")))</f>
        <v>Refill</v>
      </c>
    </row>
    <row r="23" spans="1:13" x14ac:dyDescent="0.3">
      <c r="A23" t="s">
        <v>863</v>
      </c>
      <c r="B23" t="s">
        <v>27</v>
      </c>
      <c r="C23" t="s">
        <v>37</v>
      </c>
      <c r="D23" t="s">
        <v>36</v>
      </c>
      <c r="E23">
        <v>76444</v>
      </c>
      <c r="F23" t="s">
        <v>3</v>
      </c>
      <c r="G23" t="s">
        <v>2</v>
      </c>
      <c r="H23">
        <v>82397</v>
      </c>
      <c r="I23">
        <v>5953</v>
      </c>
      <c r="J23" t="s">
        <v>30</v>
      </c>
      <c r="K23" t="s">
        <v>862</v>
      </c>
      <c r="L23" t="str">
        <f>SUBSTITUTE(2024,1,1)</f>
        <v>2024</v>
      </c>
      <c r="M23" t="str">
        <f>IF(Table1[[#This Row],[Budget Remaining]]&gt;40000,"Safe",IF(Table1[[#This Row],[Budget Remaining]]&gt;20000,"Managed",IF(Table1[[#This Row],[Budget Remaining]]&gt;5000,"Critical","Refill")))</f>
        <v>Critical</v>
      </c>
    </row>
    <row r="24" spans="1:13" x14ac:dyDescent="0.3">
      <c r="A24" t="s">
        <v>861</v>
      </c>
      <c r="B24" t="s">
        <v>27</v>
      </c>
      <c r="C24" t="s">
        <v>37</v>
      </c>
      <c r="D24" t="s">
        <v>36</v>
      </c>
      <c r="E24">
        <v>54844</v>
      </c>
      <c r="F24" t="s">
        <v>10</v>
      </c>
      <c r="G24" t="s">
        <v>2</v>
      </c>
      <c r="H24">
        <v>56555</v>
      </c>
      <c r="I24">
        <v>1711</v>
      </c>
      <c r="J24" t="s">
        <v>44</v>
      </c>
      <c r="K24" t="s">
        <v>860</v>
      </c>
      <c r="L24" t="str">
        <f t="shared" ref="L24:L39" si="1">SUBSTITUTE(2024,1,1)</f>
        <v>2024</v>
      </c>
      <c r="M24" t="str">
        <f>IF(Table1[[#This Row],[Budget Remaining]]&gt;40000,"Safe",IF(Table1[[#This Row],[Budget Remaining]]&gt;20000,"Managed",IF(Table1[[#This Row],[Budget Remaining]]&gt;5000,"Critical","Refill")))</f>
        <v>Refill</v>
      </c>
    </row>
    <row r="25" spans="1:13" x14ac:dyDescent="0.3">
      <c r="A25" t="s">
        <v>859</v>
      </c>
      <c r="B25" t="s">
        <v>27</v>
      </c>
      <c r="C25" t="s">
        <v>37</v>
      </c>
      <c r="D25" t="s">
        <v>36</v>
      </c>
      <c r="E25">
        <v>32720</v>
      </c>
      <c r="F25" t="s">
        <v>35</v>
      </c>
      <c r="G25" t="s">
        <v>2</v>
      </c>
      <c r="H25">
        <v>46921</v>
      </c>
      <c r="I25">
        <v>14201</v>
      </c>
      <c r="J25" t="s">
        <v>15</v>
      </c>
      <c r="K25" t="s">
        <v>858</v>
      </c>
      <c r="L25" t="str">
        <f t="shared" si="1"/>
        <v>2024</v>
      </c>
      <c r="M25" t="str">
        <f>IF(Table1[[#This Row],[Budget Remaining]]&gt;40000,"Safe",IF(Table1[[#This Row],[Budget Remaining]]&gt;20000,"Managed",IF(Table1[[#This Row],[Budget Remaining]]&gt;5000,"Critical","Refill")))</f>
        <v>Critical</v>
      </c>
    </row>
    <row r="26" spans="1:13" x14ac:dyDescent="0.3">
      <c r="A26" t="s">
        <v>857</v>
      </c>
      <c r="B26" t="s">
        <v>27</v>
      </c>
      <c r="C26" t="s">
        <v>41</v>
      </c>
      <c r="D26" t="s">
        <v>40</v>
      </c>
      <c r="E26">
        <v>31912</v>
      </c>
      <c r="F26" t="s">
        <v>35</v>
      </c>
      <c r="G26" t="s">
        <v>2</v>
      </c>
      <c r="H26">
        <v>34174</v>
      </c>
      <c r="I26">
        <v>2262</v>
      </c>
      <c r="J26" t="s">
        <v>15</v>
      </c>
      <c r="K26" t="s">
        <v>856</v>
      </c>
      <c r="L26" t="str">
        <f t="shared" si="1"/>
        <v>2024</v>
      </c>
      <c r="M26" t="str">
        <f>IF(Table1[[#This Row],[Budget Remaining]]&gt;40000,"Safe",IF(Table1[[#This Row],[Budget Remaining]]&gt;20000,"Managed",IF(Table1[[#This Row],[Budget Remaining]]&gt;5000,"Critical","Refill")))</f>
        <v>Refill</v>
      </c>
    </row>
    <row r="27" spans="1:13" x14ac:dyDescent="0.3">
      <c r="A27" t="s">
        <v>855</v>
      </c>
      <c r="B27" t="s">
        <v>27</v>
      </c>
      <c r="C27" s="1" t="s">
        <v>12</v>
      </c>
      <c r="D27" t="s">
        <v>209</v>
      </c>
      <c r="E27">
        <v>73783</v>
      </c>
      <c r="F27" t="s">
        <v>3</v>
      </c>
      <c r="G27" t="s">
        <v>2</v>
      </c>
      <c r="H27">
        <v>81682</v>
      </c>
      <c r="I27">
        <v>7899</v>
      </c>
      <c r="J27" t="s">
        <v>67</v>
      </c>
      <c r="K27" t="s">
        <v>854</v>
      </c>
      <c r="L27" t="str">
        <f t="shared" si="1"/>
        <v>2024</v>
      </c>
      <c r="M27" t="str">
        <f>IF(Table1[[#This Row],[Budget Remaining]]&gt;40000,"Safe",IF(Table1[[#This Row],[Budget Remaining]]&gt;20000,"Managed",IF(Table1[[#This Row],[Budget Remaining]]&gt;5000,"Critical","Refill")))</f>
        <v>Critical</v>
      </c>
    </row>
    <row r="28" spans="1:13" x14ac:dyDescent="0.3">
      <c r="A28" t="s">
        <v>853</v>
      </c>
      <c r="B28" t="s">
        <v>27</v>
      </c>
      <c r="C28" t="s">
        <v>32</v>
      </c>
      <c r="D28" t="s">
        <v>31</v>
      </c>
      <c r="E28">
        <v>13340</v>
      </c>
      <c r="F28" t="s">
        <v>10</v>
      </c>
      <c r="G28" t="s">
        <v>2</v>
      </c>
      <c r="H28">
        <v>15320</v>
      </c>
      <c r="I28">
        <v>1980</v>
      </c>
      <c r="J28" t="s">
        <v>44</v>
      </c>
      <c r="K28" t="s">
        <v>852</v>
      </c>
      <c r="L28" t="str">
        <f t="shared" si="1"/>
        <v>2024</v>
      </c>
      <c r="M28" t="str">
        <f>IF(Table1[[#This Row],[Budget Remaining]]&gt;40000,"Safe",IF(Table1[[#This Row],[Budget Remaining]]&gt;20000,"Managed",IF(Table1[[#This Row],[Budget Remaining]]&gt;5000,"Critical","Refill")))</f>
        <v>Refill</v>
      </c>
    </row>
    <row r="29" spans="1:13" x14ac:dyDescent="0.3">
      <c r="A29" t="s">
        <v>851</v>
      </c>
      <c r="B29" s="1" t="s">
        <v>6</v>
      </c>
      <c r="C29" t="s">
        <v>41</v>
      </c>
      <c r="D29" t="s">
        <v>132</v>
      </c>
      <c r="E29">
        <v>124500</v>
      </c>
      <c r="F29" t="s">
        <v>35</v>
      </c>
      <c r="G29" t="s">
        <v>2</v>
      </c>
      <c r="H29">
        <v>146580</v>
      </c>
      <c r="I29">
        <v>22080</v>
      </c>
      <c r="J29" t="s">
        <v>18</v>
      </c>
      <c r="K29" t="s">
        <v>850</v>
      </c>
      <c r="L29" t="str">
        <f t="shared" si="1"/>
        <v>2024</v>
      </c>
      <c r="M29" t="str">
        <f>IF(Table1[[#This Row],[Budget Remaining]]&gt;40000,"Safe",IF(Table1[[#This Row],[Budget Remaining]]&gt;20000,"Managed",IF(Table1[[#This Row],[Budget Remaining]]&gt;5000,"Critical","Refill")))</f>
        <v>Managed</v>
      </c>
    </row>
    <row r="30" spans="1:13" x14ac:dyDescent="0.3">
      <c r="A30" t="s">
        <v>849</v>
      </c>
      <c r="B30" s="1" t="s">
        <v>6</v>
      </c>
      <c r="C30" t="s">
        <v>21</v>
      </c>
      <c r="D30" t="s">
        <v>20</v>
      </c>
      <c r="E30">
        <v>1137</v>
      </c>
      <c r="F30" t="s">
        <v>3</v>
      </c>
      <c r="G30" t="s">
        <v>2</v>
      </c>
      <c r="H30">
        <v>1548</v>
      </c>
      <c r="I30">
        <v>411</v>
      </c>
      <c r="J30" t="s">
        <v>30</v>
      </c>
      <c r="K30" t="s">
        <v>848</v>
      </c>
      <c r="L30" t="str">
        <f t="shared" si="1"/>
        <v>2024</v>
      </c>
      <c r="M30" t="str">
        <f>IF(Table1[[#This Row],[Budget Remaining]]&gt;40000,"Safe",IF(Table1[[#This Row],[Budget Remaining]]&gt;20000,"Managed",IF(Table1[[#This Row],[Budget Remaining]]&gt;5000,"Critical","Refill")))</f>
        <v>Refill</v>
      </c>
    </row>
    <row r="31" spans="1:13" x14ac:dyDescent="0.3">
      <c r="A31" t="s">
        <v>847</v>
      </c>
      <c r="B31" s="1" t="s">
        <v>6</v>
      </c>
      <c r="C31" t="s">
        <v>41</v>
      </c>
      <c r="D31" t="s">
        <v>132</v>
      </c>
      <c r="E31">
        <v>130234</v>
      </c>
      <c r="F31" t="s">
        <v>10</v>
      </c>
      <c r="G31" t="s">
        <v>2</v>
      </c>
      <c r="H31">
        <v>191042</v>
      </c>
      <c r="I31">
        <v>60808</v>
      </c>
      <c r="J31" t="s">
        <v>83</v>
      </c>
      <c r="K31" t="s">
        <v>846</v>
      </c>
      <c r="L31" t="str">
        <f t="shared" si="1"/>
        <v>2024</v>
      </c>
      <c r="M31" t="str">
        <f>IF(Table1[[#This Row],[Budget Remaining]]&gt;40000,"Safe",IF(Table1[[#This Row],[Budget Remaining]]&gt;20000,"Managed",IF(Table1[[#This Row],[Budget Remaining]]&gt;5000,"Critical","Refill")))</f>
        <v>Safe</v>
      </c>
    </row>
    <row r="32" spans="1:13" x14ac:dyDescent="0.3">
      <c r="A32" t="s">
        <v>845</v>
      </c>
      <c r="B32" s="1" t="s">
        <v>6</v>
      </c>
      <c r="C32" t="s">
        <v>37</v>
      </c>
      <c r="D32" t="s">
        <v>347</v>
      </c>
      <c r="E32">
        <v>64055</v>
      </c>
      <c r="F32" t="s">
        <v>3</v>
      </c>
      <c r="G32" t="s">
        <v>2</v>
      </c>
      <c r="H32">
        <v>94267</v>
      </c>
      <c r="I32">
        <v>30212</v>
      </c>
      <c r="J32" t="s">
        <v>51</v>
      </c>
      <c r="K32" t="s">
        <v>844</v>
      </c>
      <c r="L32" t="str">
        <f t="shared" si="1"/>
        <v>2024</v>
      </c>
      <c r="M32" t="str">
        <f>IF(Table1[[#This Row],[Budget Remaining]]&gt;40000,"Safe",IF(Table1[[#This Row],[Budget Remaining]]&gt;20000,"Managed",IF(Table1[[#This Row],[Budget Remaining]]&gt;5000,"Critical","Refill")))</f>
        <v>Managed</v>
      </c>
    </row>
    <row r="33" spans="1:13" x14ac:dyDescent="0.3">
      <c r="A33" t="s">
        <v>843</v>
      </c>
      <c r="B33" s="1" t="s">
        <v>6</v>
      </c>
      <c r="C33" t="s">
        <v>37</v>
      </c>
      <c r="D33" t="s">
        <v>347</v>
      </c>
      <c r="E33">
        <v>33655</v>
      </c>
      <c r="F33" t="s">
        <v>35</v>
      </c>
      <c r="G33" t="s">
        <v>24</v>
      </c>
      <c r="H33">
        <v>46203</v>
      </c>
      <c r="I33">
        <v>12548</v>
      </c>
      <c r="J33" t="s">
        <v>9</v>
      </c>
      <c r="K33" t="s">
        <v>842</v>
      </c>
      <c r="L33" t="str">
        <f t="shared" si="1"/>
        <v>2024</v>
      </c>
      <c r="M33" t="str">
        <f>IF(Table1[[#This Row],[Budget Remaining]]&gt;40000,"Safe",IF(Table1[[#This Row],[Budget Remaining]]&gt;20000,"Managed",IF(Table1[[#This Row],[Budget Remaining]]&gt;5000,"Critical","Refill")))</f>
        <v>Critical</v>
      </c>
    </row>
    <row r="34" spans="1:13" x14ac:dyDescent="0.3">
      <c r="A34" t="s">
        <v>841</v>
      </c>
      <c r="B34" s="1" t="s">
        <v>6</v>
      </c>
      <c r="C34" s="1" t="s">
        <v>12</v>
      </c>
      <c r="D34" t="s">
        <v>11</v>
      </c>
      <c r="E34">
        <v>33329</v>
      </c>
      <c r="F34" t="s">
        <v>19</v>
      </c>
      <c r="G34" t="s">
        <v>2</v>
      </c>
      <c r="H34">
        <v>39130</v>
      </c>
      <c r="I34">
        <v>5801</v>
      </c>
      <c r="J34" t="s">
        <v>30</v>
      </c>
      <c r="K34" t="s">
        <v>840</v>
      </c>
      <c r="L34" t="str">
        <f t="shared" si="1"/>
        <v>2024</v>
      </c>
      <c r="M34" t="str">
        <f>IF(Table1[[#This Row],[Budget Remaining]]&gt;40000,"Safe",IF(Table1[[#This Row],[Budget Remaining]]&gt;20000,"Managed",IF(Table1[[#This Row],[Budget Remaining]]&gt;5000,"Critical","Refill")))</f>
        <v>Critical</v>
      </c>
    </row>
    <row r="35" spans="1:13" x14ac:dyDescent="0.3">
      <c r="A35" t="s">
        <v>839</v>
      </c>
      <c r="B35" s="1" t="s">
        <v>6</v>
      </c>
      <c r="C35" t="s">
        <v>69</v>
      </c>
      <c r="D35" t="s">
        <v>782</v>
      </c>
      <c r="E35">
        <v>13058</v>
      </c>
      <c r="F35" t="s">
        <v>19</v>
      </c>
      <c r="G35" t="s">
        <v>2</v>
      </c>
      <c r="H35">
        <v>16336</v>
      </c>
      <c r="I35">
        <v>3278</v>
      </c>
      <c r="J35" t="s">
        <v>44</v>
      </c>
      <c r="K35" t="s">
        <v>838</v>
      </c>
      <c r="L35" t="str">
        <f t="shared" si="1"/>
        <v>2024</v>
      </c>
      <c r="M35" t="str">
        <f>IF(Table1[[#This Row],[Budget Remaining]]&gt;40000,"Safe",IF(Table1[[#This Row],[Budget Remaining]]&gt;20000,"Managed",IF(Table1[[#This Row],[Budget Remaining]]&gt;5000,"Critical","Refill")))</f>
        <v>Refill</v>
      </c>
    </row>
    <row r="36" spans="1:13" x14ac:dyDescent="0.3">
      <c r="A36" t="s">
        <v>837</v>
      </c>
      <c r="B36" t="s">
        <v>105</v>
      </c>
      <c r="C36" t="s">
        <v>32</v>
      </c>
      <c r="D36" t="s">
        <v>110</v>
      </c>
      <c r="E36">
        <v>6770</v>
      </c>
      <c r="F36" t="s">
        <v>10</v>
      </c>
      <c r="G36" t="s">
        <v>2</v>
      </c>
      <c r="H36">
        <v>9573</v>
      </c>
      <c r="I36">
        <v>2803</v>
      </c>
      <c r="J36" t="s">
        <v>9</v>
      </c>
      <c r="K36" t="s">
        <v>836</v>
      </c>
      <c r="L36" t="str">
        <f t="shared" si="1"/>
        <v>2024</v>
      </c>
      <c r="M36" t="str">
        <f>IF(Table1[[#This Row],[Budget Remaining]]&gt;40000,"Safe",IF(Table1[[#This Row],[Budget Remaining]]&gt;20000,"Managed",IF(Table1[[#This Row],[Budget Remaining]]&gt;5000,"Critical","Refill")))</f>
        <v>Refill</v>
      </c>
    </row>
    <row r="37" spans="1:13" x14ac:dyDescent="0.3">
      <c r="A37" t="s">
        <v>835</v>
      </c>
      <c r="B37" t="s">
        <v>105</v>
      </c>
      <c r="C37" s="1" t="s">
        <v>12</v>
      </c>
      <c r="D37" t="s">
        <v>197</v>
      </c>
      <c r="E37">
        <v>53905</v>
      </c>
      <c r="F37" t="s">
        <v>3</v>
      </c>
      <c r="G37" t="s">
        <v>24</v>
      </c>
      <c r="H37">
        <v>58673</v>
      </c>
      <c r="I37">
        <v>4768</v>
      </c>
      <c r="J37" t="s">
        <v>83</v>
      </c>
      <c r="K37" t="s">
        <v>834</v>
      </c>
      <c r="L37" t="str">
        <f t="shared" si="1"/>
        <v>2024</v>
      </c>
      <c r="M37" t="str">
        <f>IF(Table1[[#This Row],[Budget Remaining]]&gt;40000,"Safe",IF(Table1[[#This Row],[Budget Remaining]]&gt;20000,"Managed",IF(Table1[[#This Row],[Budget Remaining]]&gt;5000,"Critical","Refill")))</f>
        <v>Refill</v>
      </c>
    </row>
    <row r="38" spans="1:13" x14ac:dyDescent="0.3">
      <c r="A38" t="s">
        <v>833</v>
      </c>
      <c r="B38" t="s">
        <v>105</v>
      </c>
      <c r="C38" t="s">
        <v>69</v>
      </c>
      <c r="D38" t="s">
        <v>116</v>
      </c>
      <c r="E38">
        <v>24613</v>
      </c>
      <c r="F38" t="s">
        <v>10</v>
      </c>
      <c r="G38" t="s">
        <v>24</v>
      </c>
      <c r="H38">
        <v>33087</v>
      </c>
      <c r="I38">
        <v>8474</v>
      </c>
      <c r="J38" t="s">
        <v>67</v>
      </c>
      <c r="K38" t="s">
        <v>832</v>
      </c>
      <c r="L38" t="str">
        <f t="shared" si="1"/>
        <v>2024</v>
      </c>
      <c r="M38" t="str">
        <f>IF(Table1[[#This Row],[Budget Remaining]]&gt;40000,"Safe",IF(Table1[[#This Row],[Budget Remaining]]&gt;20000,"Managed",IF(Table1[[#This Row],[Budget Remaining]]&gt;5000,"Critical","Refill")))</f>
        <v>Critical</v>
      </c>
    </row>
    <row r="39" spans="1:13" x14ac:dyDescent="0.3">
      <c r="A39" t="s">
        <v>831</v>
      </c>
      <c r="B39" t="s">
        <v>105</v>
      </c>
      <c r="C39" t="s">
        <v>5</v>
      </c>
      <c r="D39" t="s">
        <v>194</v>
      </c>
      <c r="E39">
        <v>7874</v>
      </c>
      <c r="F39" t="s">
        <v>35</v>
      </c>
      <c r="G39" t="s">
        <v>2</v>
      </c>
      <c r="H39">
        <v>10432</v>
      </c>
      <c r="I39">
        <v>2558</v>
      </c>
      <c r="J39" t="s">
        <v>44</v>
      </c>
      <c r="K39" t="s">
        <v>830</v>
      </c>
      <c r="L39" t="str">
        <f t="shared" si="1"/>
        <v>2024</v>
      </c>
      <c r="M39" t="str">
        <f>IF(Table1[[#This Row],[Budget Remaining]]&gt;40000,"Safe",IF(Table1[[#This Row],[Budget Remaining]]&gt;20000,"Managed",IF(Table1[[#This Row],[Budget Remaining]]&gt;5000,"Critical","Refill")))</f>
        <v>Refill</v>
      </c>
    </row>
    <row r="40" spans="1:13" x14ac:dyDescent="0.3">
      <c r="A40" t="s">
        <v>829</v>
      </c>
      <c r="B40" t="s">
        <v>105</v>
      </c>
      <c r="C40" t="s">
        <v>5</v>
      </c>
      <c r="D40" t="s">
        <v>194</v>
      </c>
      <c r="E40">
        <v>43518</v>
      </c>
      <c r="F40" t="s">
        <v>19</v>
      </c>
      <c r="G40" t="s">
        <v>2</v>
      </c>
      <c r="H40">
        <v>53181</v>
      </c>
      <c r="I40">
        <v>9663</v>
      </c>
      <c r="J40" t="s">
        <v>83</v>
      </c>
      <c r="K40" t="s">
        <v>828</v>
      </c>
      <c r="L40" t="str">
        <f t="shared" si="0"/>
        <v>2026</v>
      </c>
      <c r="M40" t="str">
        <f>IF(Table1[[#This Row],[Budget Remaining]]&gt;40000,"Safe",IF(Table1[[#This Row],[Budget Remaining]]&gt;20000,"Managed",IF(Table1[[#This Row],[Budget Remaining]]&gt;5000,"Critical","Refill")))</f>
        <v>Critical</v>
      </c>
    </row>
    <row r="41" spans="1:13" x14ac:dyDescent="0.3">
      <c r="A41" t="s">
        <v>827</v>
      </c>
      <c r="B41" t="s">
        <v>105</v>
      </c>
      <c r="C41" t="s">
        <v>21</v>
      </c>
      <c r="D41" t="s">
        <v>104</v>
      </c>
      <c r="E41">
        <v>6864</v>
      </c>
      <c r="F41" t="s">
        <v>19</v>
      </c>
      <c r="G41" t="s">
        <v>2</v>
      </c>
      <c r="H41">
        <v>8424</v>
      </c>
      <c r="I41">
        <v>1560</v>
      </c>
      <c r="J41" t="s">
        <v>44</v>
      </c>
      <c r="K41" t="s">
        <v>826</v>
      </c>
      <c r="L41" t="str">
        <f t="shared" si="0"/>
        <v>2026</v>
      </c>
      <c r="M41" t="str">
        <f>IF(Table1[[#This Row],[Budget Remaining]]&gt;40000,"Safe",IF(Table1[[#This Row],[Budget Remaining]]&gt;20000,"Managed",IF(Table1[[#This Row],[Budget Remaining]]&gt;5000,"Critical","Refill")))</f>
        <v>Refill</v>
      </c>
    </row>
    <row r="42" spans="1:13" x14ac:dyDescent="0.3">
      <c r="A42" t="s">
        <v>825</v>
      </c>
      <c r="B42" t="s">
        <v>41</v>
      </c>
      <c r="C42" t="s">
        <v>26</v>
      </c>
      <c r="D42" t="s">
        <v>97</v>
      </c>
      <c r="E42">
        <v>118248</v>
      </c>
      <c r="F42" t="s">
        <v>35</v>
      </c>
      <c r="G42" t="s">
        <v>2</v>
      </c>
      <c r="H42">
        <v>171932</v>
      </c>
      <c r="I42">
        <v>53684</v>
      </c>
      <c r="J42" t="s">
        <v>30</v>
      </c>
      <c r="K42" t="s">
        <v>824</v>
      </c>
      <c r="L42" t="str">
        <f t="shared" si="0"/>
        <v>2026</v>
      </c>
      <c r="M42" t="str">
        <f>IF(Table1[[#This Row],[Budget Remaining]]&gt;40000,"Safe",IF(Table1[[#This Row],[Budget Remaining]]&gt;20000,"Managed",IF(Table1[[#This Row],[Budget Remaining]]&gt;5000,"Critical","Refill")))</f>
        <v>Safe</v>
      </c>
    </row>
    <row r="43" spans="1:13" x14ac:dyDescent="0.3">
      <c r="A43" t="s">
        <v>823</v>
      </c>
      <c r="B43" t="s">
        <v>41</v>
      </c>
      <c r="C43" t="s">
        <v>69</v>
      </c>
      <c r="D43" t="s">
        <v>94</v>
      </c>
      <c r="E43">
        <v>11769</v>
      </c>
      <c r="F43" t="s">
        <v>10</v>
      </c>
      <c r="G43" t="s">
        <v>2</v>
      </c>
      <c r="H43">
        <v>16945</v>
      </c>
      <c r="I43">
        <v>5176</v>
      </c>
      <c r="J43" t="s">
        <v>100</v>
      </c>
      <c r="K43" t="s">
        <v>822</v>
      </c>
      <c r="L43" t="str">
        <f t="shared" si="0"/>
        <v>2026</v>
      </c>
      <c r="M43" t="str">
        <f>IF(Table1[[#This Row],[Budget Remaining]]&gt;40000,"Safe",IF(Table1[[#This Row],[Budget Remaining]]&gt;20000,"Managed",IF(Table1[[#This Row],[Budget Remaining]]&gt;5000,"Critical","Refill")))</f>
        <v>Critical</v>
      </c>
    </row>
    <row r="44" spans="1:13" x14ac:dyDescent="0.3">
      <c r="A44" t="s">
        <v>821</v>
      </c>
      <c r="B44" t="s">
        <v>41</v>
      </c>
      <c r="C44" s="1" t="s">
        <v>12</v>
      </c>
      <c r="D44" t="s">
        <v>91</v>
      </c>
      <c r="E44">
        <v>9282</v>
      </c>
      <c r="F44" t="s">
        <v>10</v>
      </c>
      <c r="G44" t="s">
        <v>24</v>
      </c>
      <c r="H44">
        <v>9354</v>
      </c>
      <c r="I44">
        <v>72</v>
      </c>
      <c r="J44" t="s">
        <v>51</v>
      </c>
      <c r="K44" t="s">
        <v>820</v>
      </c>
      <c r="L44" t="str">
        <f t="shared" si="0"/>
        <v>2026</v>
      </c>
      <c r="M44" t="str">
        <f>IF(Table1[[#This Row],[Budget Remaining]]&gt;40000,"Safe",IF(Table1[[#This Row],[Budget Remaining]]&gt;20000,"Managed",IF(Table1[[#This Row],[Budget Remaining]]&gt;5000,"Critical","Refill")))</f>
        <v>Refill</v>
      </c>
    </row>
    <row r="45" spans="1:13" x14ac:dyDescent="0.3">
      <c r="A45" t="s">
        <v>819</v>
      </c>
      <c r="B45" t="s">
        <v>41</v>
      </c>
      <c r="C45" t="s">
        <v>32</v>
      </c>
      <c r="D45" t="s">
        <v>250</v>
      </c>
      <c r="E45">
        <v>3792</v>
      </c>
      <c r="F45" t="s">
        <v>3</v>
      </c>
      <c r="G45" t="s">
        <v>24</v>
      </c>
      <c r="H45">
        <v>5611</v>
      </c>
      <c r="I45">
        <v>1819</v>
      </c>
      <c r="J45" t="s">
        <v>83</v>
      </c>
      <c r="K45" t="s">
        <v>818</v>
      </c>
      <c r="L45" t="str">
        <f t="shared" si="0"/>
        <v>2026</v>
      </c>
      <c r="M45" t="str">
        <f>IF(Table1[[#This Row],[Budget Remaining]]&gt;40000,"Safe",IF(Table1[[#This Row],[Budget Remaining]]&gt;20000,"Managed",IF(Table1[[#This Row],[Budget Remaining]]&gt;5000,"Critical","Refill")))</f>
        <v>Refill</v>
      </c>
    </row>
    <row r="46" spans="1:13" x14ac:dyDescent="0.3">
      <c r="A46" t="s">
        <v>817</v>
      </c>
      <c r="B46" t="s">
        <v>41</v>
      </c>
      <c r="C46" s="1" t="s">
        <v>12</v>
      </c>
      <c r="D46" t="s">
        <v>91</v>
      </c>
      <c r="E46">
        <v>113599</v>
      </c>
      <c r="F46" t="s">
        <v>35</v>
      </c>
      <c r="G46" t="s">
        <v>2</v>
      </c>
      <c r="H46">
        <v>116529</v>
      </c>
      <c r="I46">
        <v>2930</v>
      </c>
      <c r="J46" t="s">
        <v>83</v>
      </c>
      <c r="K46" t="s">
        <v>816</v>
      </c>
      <c r="L46" t="str">
        <f t="shared" si="0"/>
        <v>2026</v>
      </c>
      <c r="M46" t="str">
        <f>IF(Table1[[#This Row],[Budget Remaining]]&gt;40000,"Safe",IF(Table1[[#This Row],[Budget Remaining]]&gt;20000,"Managed",IF(Table1[[#This Row],[Budget Remaining]]&gt;5000,"Critical","Refill")))</f>
        <v>Refill</v>
      </c>
    </row>
    <row r="47" spans="1:13" x14ac:dyDescent="0.3">
      <c r="A47" t="s">
        <v>815</v>
      </c>
      <c r="B47" t="s">
        <v>80</v>
      </c>
      <c r="C47" t="s">
        <v>32</v>
      </c>
      <c r="D47" t="s">
        <v>164</v>
      </c>
      <c r="E47">
        <v>9475</v>
      </c>
      <c r="F47" t="s">
        <v>19</v>
      </c>
      <c r="G47" t="s">
        <v>2</v>
      </c>
      <c r="H47">
        <v>10226</v>
      </c>
      <c r="I47">
        <v>751</v>
      </c>
      <c r="J47" t="s">
        <v>18</v>
      </c>
      <c r="K47" t="s">
        <v>814</v>
      </c>
      <c r="L47" t="str">
        <f t="shared" si="0"/>
        <v>2026</v>
      </c>
      <c r="M47" t="str">
        <f>IF(Table1[[#This Row],[Budget Remaining]]&gt;40000,"Safe",IF(Table1[[#This Row],[Budget Remaining]]&gt;20000,"Managed",IF(Table1[[#This Row],[Budget Remaining]]&gt;5000,"Critical","Refill")))</f>
        <v>Refill</v>
      </c>
    </row>
    <row r="48" spans="1:13" x14ac:dyDescent="0.3">
      <c r="A48" t="s">
        <v>813</v>
      </c>
      <c r="B48" t="s">
        <v>80</v>
      </c>
      <c r="C48" s="1" t="s">
        <v>12</v>
      </c>
      <c r="D48" t="s">
        <v>312</v>
      </c>
      <c r="E48">
        <v>115497</v>
      </c>
      <c r="F48" t="s">
        <v>3</v>
      </c>
      <c r="G48" t="s">
        <v>2</v>
      </c>
      <c r="H48">
        <v>159511</v>
      </c>
      <c r="I48">
        <v>44014</v>
      </c>
      <c r="J48" t="s">
        <v>100</v>
      </c>
      <c r="K48" t="s">
        <v>812</v>
      </c>
      <c r="L48" t="str">
        <f t="shared" si="0"/>
        <v>2026</v>
      </c>
      <c r="M48" t="str">
        <f>IF(Table1[[#This Row],[Budget Remaining]]&gt;40000,"Safe",IF(Table1[[#This Row],[Budget Remaining]]&gt;20000,"Managed",IF(Table1[[#This Row],[Budget Remaining]]&gt;5000,"Critical","Refill")))</f>
        <v>Safe</v>
      </c>
    </row>
    <row r="49" spans="1:13" x14ac:dyDescent="0.3">
      <c r="A49" t="s">
        <v>811</v>
      </c>
      <c r="B49" t="s">
        <v>80</v>
      </c>
      <c r="C49" t="s">
        <v>5</v>
      </c>
      <c r="D49" t="s">
        <v>235</v>
      </c>
      <c r="E49">
        <v>3680</v>
      </c>
      <c r="F49" t="s">
        <v>3</v>
      </c>
      <c r="G49" t="s">
        <v>2</v>
      </c>
      <c r="H49">
        <v>4485</v>
      </c>
      <c r="I49">
        <v>805</v>
      </c>
      <c r="J49" t="s">
        <v>51</v>
      </c>
      <c r="K49" t="s">
        <v>810</v>
      </c>
      <c r="L49" t="str">
        <f t="shared" si="0"/>
        <v>2026</v>
      </c>
      <c r="M49" t="str">
        <f>IF(Table1[[#This Row],[Budget Remaining]]&gt;40000,"Safe",IF(Table1[[#This Row],[Budget Remaining]]&gt;20000,"Managed",IF(Table1[[#This Row],[Budget Remaining]]&gt;5000,"Critical","Refill")))</f>
        <v>Refill</v>
      </c>
    </row>
    <row r="50" spans="1:13" x14ac:dyDescent="0.3">
      <c r="A50" t="s">
        <v>809</v>
      </c>
      <c r="B50" t="s">
        <v>80</v>
      </c>
      <c r="C50" t="s">
        <v>5</v>
      </c>
      <c r="D50" t="s">
        <v>235</v>
      </c>
      <c r="E50">
        <v>39473</v>
      </c>
      <c r="F50" t="s">
        <v>3</v>
      </c>
      <c r="G50" t="s">
        <v>2</v>
      </c>
      <c r="H50">
        <v>47020</v>
      </c>
      <c r="I50">
        <v>7547</v>
      </c>
      <c r="J50" t="s">
        <v>30</v>
      </c>
      <c r="K50" t="s">
        <v>808</v>
      </c>
      <c r="L50" t="str">
        <f t="shared" si="0"/>
        <v>2026</v>
      </c>
      <c r="M50" t="str">
        <f>IF(Table1[[#This Row],[Budget Remaining]]&gt;40000,"Safe",IF(Table1[[#This Row],[Budget Remaining]]&gt;20000,"Managed",IF(Table1[[#This Row],[Budget Remaining]]&gt;5000,"Critical","Refill")))</f>
        <v>Critical</v>
      </c>
    </row>
    <row r="51" spans="1:13" x14ac:dyDescent="0.3">
      <c r="A51" t="s">
        <v>807</v>
      </c>
      <c r="B51" t="s">
        <v>80</v>
      </c>
      <c r="C51" t="s">
        <v>21</v>
      </c>
      <c r="D51" t="s">
        <v>79</v>
      </c>
      <c r="E51">
        <v>5845</v>
      </c>
      <c r="F51" t="s">
        <v>3</v>
      </c>
      <c r="G51" t="s">
        <v>24</v>
      </c>
      <c r="H51">
        <v>8469</v>
      </c>
      <c r="I51">
        <v>2624</v>
      </c>
      <c r="J51" t="s">
        <v>100</v>
      </c>
      <c r="K51" t="s">
        <v>806</v>
      </c>
      <c r="L51" t="str">
        <f t="shared" si="0"/>
        <v>2026</v>
      </c>
      <c r="M51" t="str">
        <f>IF(Table1[[#This Row],[Budget Remaining]]&gt;40000,"Safe",IF(Table1[[#This Row],[Budget Remaining]]&gt;20000,"Managed",IF(Table1[[#This Row],[Budget Remaining]]&gt;5000,"Critical","Refill")))</f>
        <v>Refill</v>
      </c>
    </row>
    <row r="52" spans="1:13" x14ac:dyDescent="0.3">
      <c r="A52" t="s">
        <v>805</v>
      </c>
      <c r="B52" t="s">
        <v>80</v>
      </c>
      <c r="C52" t="s">
        <v>69</v>
      </c>
      <c r="D52" t="s">
        <v>88</v>
      </c>
      <c r="E52">
        <v>24602</v>
      </c>
      <c r="F52" t="s">
        <v>3</v>
      </c>
      <c r="G52" t="s">
        <v>2</v>
      </c>
      <c r="H52">
        <v>25239</v>
      </c>
      <c r="I52">
        <v>637</v>
      </c>
      <c r="J52" t="s">
        <v>51</v>
      </c>
      <c r="K52" t="s">
        <v>804</v>
      </c>
      <c r="L52" t="str">
        <f t="shared" si="0"/>
        <v>2026</v>
      </c>
      <c r="M52" t="str">
        <f>IF(Table1[[#This Row],[Budget Remaining]]&gt;40000,"Safe",IF(Table1[[#This Row],[Budget Remaining]]&gt;20000,"Managed",IF(Table1[[#This Row],[Budget Remaining]]&gt;5000,"Critical","Refill")))</f>
        <v>Refill</v>
      </c>
    </row>
    <row r="53" spans="1:13" x14ac:dyDescent="0.3">
      <c r="A53" t="s">
        <v>803</v>
      </c>
      <c r="B53" t="s">
        <v>55</v>
      </c>
      <c r="C53" t="s">
        <v>26</v>
      </c>
      <c r="D53" t="s">
        <v>61</v>
      </c>
      <c r="E53">
        <v>166210</v>
      </c>
      <c r="F53" t="s">
        <v>10</v>
      </c>
      <c r="G53" t="s">
        <v>2</v>
      </c>
      <c r="H53">
        <v>176406</v>
      </c>
      <c r="I53">
        <v>10196</v>
      </c>
      <c r="J53" t="s">
        <v>9</v>
      </c>
      <c r="K53" t="s">
        <v>802</v>
      </c>
      <c r="L53" t="str">
        <f t="shared" si="0"/>
        <v>2026</v>
      </c>
      <c r="M53" t="str">
        <f>IF(Table1[[#This Row],[Budget Remaining]]&gt;40000,"Safe",IF(Table1[[#This Row],[Budget Remaining]]&gt;20000,"Managed",IF(Table1[[#This Row],[Budget Remaining]]&gt;5000,"Critical","Refill")))</f>
        <v>Critical</v>
      </c>
    </row>
    <row r="54" spans="1:13" x14ac:dyDescent="0.3">
      <c r="A54" t="s">
        <v>801</v>
      </c>
      <c r="B54" t="s">
        <v>55</v>
      </c>
      <c r="C54" t="s">
        <v>5</v>
      </c>
      <c r="D54" t="s">
        <v>74</v>
      </c>
      <c r="E54">
        <v>34390</v>
      </c>
      <c r="F54" t="s">
        <v>3</v>
      </c>
      <c r="G54" t="s">
        <v>2</v>
      </c>
      <c r="H54">
        <v>48913</v>
      </c>
      <c r="I54">
        <v>14523</v>
      </c>
      <c r="J54" t="s">
        <v>67</v>
      </c>
      <c r="K54" t="s">
        <v>800</v>
      </c>
      <c r="L54" t="str">
        <f t="shared" si="0"/>
        <v>2026</v>
      </c>
      <c r="M54" t="str">
        <f>IF(Table1[[#This Row],[Budget Remaining]]&gt;40000,"Safe",IF(Table1[[#This Row],[Budget Remaining]]&gt;20000,"Managed",IF(Table1[[#This Row],[Budget Remaining]]&gt;5000,"Critical","Refill")))</f>
        <v>Critical</v>
      </c>
    </row>
    <row r="55" spans="1:13" x14ac:dyDescent="0.3">
      <c r="A55" t="s">
        <v>799</v>
      </c>
      <c r="B55" t="s">
        <v>55</v>
      </c>
      <c r="C55" t="s">
        <v>37</v>
      </c>
      <c r="D55" t="s">
        <v>54</v>
      </c>
      <c r="E55">
        <v>59230</v>
      </c>
      <c r="F55" t="s">
        <v>19</v>
      </c>
      <c r="G55" t="s">
        <v>2</v>
      </c>
      <c r="H55">
        <v>61409</v>
      </c>
      <c r="I55">
        <v>2179</v>
      </c>
      <c r="J55" t="s">
        <v>83</v>
      </c>
      <c r="K55" t="s">
        <v>798</v>
      </c>
      <c r="L55" t="str">
        <f t="shared" si="0"/>
        <v>2026</v>
      </c>
      <c r="M55" t="str">
        <f>IF(Table1[[#This Row],[Budget Remaining]]&gt;40000,"Safe",IF(Table1[[#This Row],[Budget Remaining]]&gt;20000,"Managed",IF(Table1[[#This Row],[Budget Remaining]]&gt;5000,"Critical","Refill")))</f>
        <v>Refill</v>
      </c>
    </row>
    <row r="56" spans="1:13" x14ac:dyDescent="0.3">
      <c r="A56" t="s">
        <v>797</v>
      </c>
      <c r="B56" t="s">
        <v>27</v>
      </c>
      <c r="C56" t="s">
        <v>26</v>
      </c>
      <c r="D56" t="s">
        <v>25</v>
      </c>
      <c r="E56">
        <v>52232</v>
      </c>
      <c r="F56" t="s">
        <v>3</v>
      </c>
      <c r="G56" t="s">
        <v>24</v>
      </c>
      <c r="H56">
        <v>56928</v>
      </c>
      <c r="I56">
        <v>4696</v>
      </c>
      <c r="J56" t="s">
        <v>51</v>
      </c>
      <c r="K56" t="s">
        <v>796</v>
      </c>
      <c r="L56" t="str">
        <f t="shared" si="0"/>
        <v>2026</v>
      </c>
      <c r="M56" t="str">
        <f>IF(Table1[[#This Row],[Budget Remaining]]&gt;40000,"Safe",IF(Table1[[#This Row],[Budget Remaining]]&gt;20000,"Managed",IF(Table1[[#This Row],[Budget Remaining]]&gt;5000,"Critical","Refill")))</f>
        <v>Refill</v>
      </c>
    </row>
    <row r="57" spans="1:13" x14ac:dyDescent="0.3">
      <c r="A57" t="s">
        <v>795</v>
      </c>
      <c r="B57" t="s">
        <v>27</v>
      </c>
      <c r="C57" t="s">
        <v>5</v>
      </c>
      <c r="D57" t="s">
        <v>48</v>
      </c>
      <c r="E57">
        <v>24466</v>
      </c>
      <c r="F57" t="s">
        <v>19</v>
      </c>
      <c r="G57" t="s">
        <v>2</v>
      </c>
      <c r="H57">
        <v>36622</v>
      </c>
      <c r="I57">
        <v>12156</v>
      </c>
      <c r="J57" t="s">
        <v>18</v>
      </c>
      <c r="K57" t="s">
        <v>794</v>
      </c>
      <c r="L57" t="str">
        <f t="shared" si="0"/>
        <v>2026</v>
      </c>
      <c r="M57" t="str">
        <f>IF(Table1[[#This Row],[Budget Remaining]]&gt;40000,"Safe",IF(Table1[[#This Row],[Budget Remaining]]&gt;20000,"Managed",IF(Table1[[#This Row],[Budget Remaining]]&gt;5000,"Critical","Refill")))</f>
        <v>Critical</v>
      </c>
    </row>
    <row r="58" spans="1:13" x14ac:dyDescent="0.3">
      <c r="A58" t="s">
        <v>793</v>
      </c>
      <c r="B58" t="s">
        <v>27</v>
      </c>
      <c r="C58" t="s">
        <v>5</v>
      </c>
      <c r="D58" t="s">
        <v>48</v>
      </c>
      <c r="E58">
        <v>14638</v>
      </c>
      <c r="F58" t="s">
        <v>19</v>
      </c>
      <c r="G58" t="s">
        <v>24</v>
      </c>
      <c r="H58">
        <v>19074</v>
      </c>
      <c r="I58">
        <v>4436</v>
      </c>
      <c r="J58" t="s">
        <v>18</v>
      </c>
      <c r="K58" t="s">
        <v>792</v>
      </c>
      <c r="L58" t="str">
        <f t="shared" si="0"/>
        <v>2026</v>
      </c>
      <c r="M58" t="str">
        <f>IF(Table1[[#This Row],[Budget Remaining]]&gt;40000,"Safe",IF(Table1[[#This Row],[Budget Remaining]]&gt;20000,"Managed",IF(Table1[[#This Row],[Budget Remaining]]&gt;5000,"Critical","Refill")))</f>
        <v>Refill</v>
      </c>
    </row>
    <row r="59" spans="1:13" x14ac:dyDescent="0.3">
      <c r="A59" t="s">
        <v>791</v>
      </c>
      <c r="B59" t="s">
        <v>27</v>
      </c>
      <c r="C59" t="s">
        <v>21</v>
      </c>
      <c r="D59" t="s">
        <v>45</v>
      </c>
      <c r="E59">
        <v>7601</v>
      </c>
      <c r="F59" t="s">
        <v>19</v>
      </c>
      <c r="G59" t="s">
        <v>2</v>
      </c>
      <c r="H59">
        <v>8988</v>
      </c>
      <c r="I59">
        <v>1387</v>
      </c>
      <c r="J59" t="s">
        <v>9</v>
      </c>
      <c r="K59" t="s">
        <v>790</v>
      </c>
      <c r="L59" t="str">
        <f t="shared" si="0"/>
        <v>2026</v>
      </c>
      <c r="M59" t="str">
        <f>IF(Table1[[#This Row],[Budget Remaining]]&gt;40000,"Safe",IF(Table1[[#This Row],[Budget Remaining]]&gt;20000,"Managed",IF(Table1[[#This Row],[Budget Remaining]]&gt;5000,"Critical","Refill")))</f>
        <v>Refill</v>
      </c>
    </row>
    <row r="60" spans="1:13" x14ac:dyDescent="0.3">
      <c r="A60" t="s">
        <v>789</v>
      </c>
      <c r="B60" t="s">
        <v>27</v>
      </c>
      <c r="C60" t="s">
        <v>5</v>
      </c>
      <c r="D60" t="s">
        <v>48</v>
      </c>
      <c r="E60">
        <v>49693</v>
      </c>
      <c r="F60" t="s">
        <v>10</v>
      </c>
      <c r="G60" t="s">
        <v>2</v>
      </c>
      <c r="H60">
        <v>66877</v>
      </c>
      <c r="I60">
        <v>17184</v>
      </c>
      <c r="J60" t="s">
        <v>44</v>
      </c>
      <c r="K60" t="s">
        <v>788</v>
      </c>
      <c r="L60" t="str">
        <f t="shared" si="0"/>
        <v>2026</v>
      </c>
      <c r="M60" t="str">
        <f>IF(Table1[[#This Row],[Budget Remaining]]&gt;40000,"Safe",IF(Table1[[#This Row],[Budget Remaining]]&gt;20000,"Managed",IF(Table1[[#This Row],[Budget Remaining]]&gt;5000,"Critical","Refill")))</f>
        <v>Critical</v>
      </c>
    </row>
    <row r="61" spans="1:13" x14ac:dyDescent="0.3">
      <c r="A61" t="s">
        <v>787</v>
      </c>
      <c r="B61" s="1" t="s">
        <v>6</v>
      </c>
      <c r="C61" t="s">
        <v>32</v>
      </c>
      <c r="D61" t="s">
        <v>204</v>
      </c>
      <c r="E61">
        <v>12601</v>
      </c>
      <c r="F61" t="s">
        <v>35</v>
      </c>
      <c r="G61" t="s">
        <v>2</v>
      </c>
      <c r="H61">
        <v>16076</v>
      </c>
      <c r="I61">
        <v>3475</v>
      </c>
      <c r="J61" t="s">
        <v>83</v>
      </c>
      <c r="K61" t="s">
        <v>786</v>
      </c>
      <c r="L61" t="str">
        <f t="shared" si="0"/>
        <v>2026</v>
      </c>
      <c r="M61" t="str">
        <f>IF(Table1[[#This Row],[Budget Remaining]]&gt;40000,"Safe",IF(Table1[[#This Row],[Budget Remaining]]&gt;20000,"Managed",IF(Table1[[#This Row],[Budget Remaining]]&gt;5000,"Critical","Refill")))</f>
        <v>Refill</v>
      </c>
    </row>
    <row r="62" spans="1:13" x14ac:dyDescent="0.3">
      <c r="A62" t="s">
        <v>785</v>
      </c>
      <c r="B62" s="1" t="s">
        <v>6</v>
      </c>
      <c r="C62" s="1" t="s">
        <v>12</v>
      </c>
      <c r="D62" t="s">
        <v>11</v>
      </c>
      <c r="E62">
        <v>30304</v>
      </c>
      <c r="F62" t="s">
        <v>10</v>
      </c>
      <c r="G62" t="s">
        <v>2</v>
      </c>
      <c r="H62">
        <v>34093</v>
      </c>
      <c r="I62">
        <v>3789</v>
      </c>
      <c r="J62" t="s">
        <v>67</v>
      </c>
      <c r="K62" t="s">
        <v>784</v>
      </c>
      <c r="L62" t="str">
        <f t="shared" si="0"/>
        <v>2026</v>
      </c>
      <c r="M62" t="str">
        <f>IF(Table1[[#This Row],[Budget Remaining]]&gt;40000,"Safe",IF(Table1[[#This Row],[Budget Remaining]]&gt;20000,"Managed",IF(Table1[[#This Row],[Budget Remaining]]&gt;5000,"Critical","Refill")))</f>
        <v>Refill</v>
      </c>
    </row>
    <row r="63" spans="1:13" x14ac:dyDescent="0.3">
      <c r="A63" t="s">
        <v>783</v>
      </c>
      <c r="B63" s="1" t="s">
        <v>6</v>
      </c>
      <c r="C63" t="s">
        <v>69</v>
      </c>
      <c r="D63" t="s">
        <v>782</v>
      </c>
      <c r="E63">
        <v>8428</v>
      </c>
      <c r="F63" t="s">
        <v>35</v>
      </c>
      <c r="G63" t="s">
        <v>2</v>
      </c>
      <c r="H63">
        <v>11774</v>
      </c>
      <c r="I63">
        <v>3346</v>
      </c>
      <c r="J63" t="s">
        <v>44</v>
      </c>
      <c r="K63" t="s">
        <v>781</v>
      </c>
      <c r="L63" t="str">
        <f t="shared" si="0"/>
        <v>2026</v>
      </c>
      <c r="M63" t="str">
        <f>IF(Table1[[#This Row],[Budget Remaining]]&gt;40000,"Safe",IF(Table1[[#This Row],[Budget Remaining]]&gt;20000,"Managed",IF(Table1[[#This Row],[Budget Remaining]]&gt;5000,"Critical","Refill")))</f>
        <v>Refill</v>
      </c>
    </row>
    <row r="64" spans="1:13" x14ac:dyDescent="0.3">
      <c r="A64" t="s">
        <v>780</v>
      </c>
      <c r="B64" t="s">
        <v>105</v>
      </c>
      <c r="C64" t="s">
        <v>69</v>
      </c>
      <c r="D64" t="s">
        <v>116</v>
      </c>
      <c r="E64">
        <v>29735</v>
      </c>
      <c r="F64" t="s">
        <v>35</v>
      </c>
      <c r="G64" t="s">
        <v>2</v>
      </c>
      <c r="H64">
        <v>34474</v>
      </c>
      <c r="I64">
        <v>4739</v>
      </c>
      <c r="J64" t="s">
        <v>100</v>
      </c>
      <c r="K64" t="s">
        <v>779</v>
      </c>
      <c r="L64" t="str">
        <f t="shared" si="0"/>
        <v>2026</v>
      </c>
      <c r="M64" t="str">
        <f>IF(Table1[[#This Row],[Budget Remaining]]&gt;40000,"Safe",IF(Table1[[#This Row],[Budget Remaining]]&gt;20000,"Managed",IF(Table1[[#This Row],[Budget Remaining]]&gt;5000,"Critical","Refill")))</f>
        <v>Refill</v>
      </c>
    </row>
    <row r="65" spans="1:13" x14ac:dyDescent="0.3">
      <c r="A65" t="s">
        <v>778</v>
      </c>
      <c r="B65" t="s">
        <v>105</v>
      </c>
      <c r="C65" t="s">
        <v>32</v>
      </c>
      <c r="D65" t="s">
        <v>110</v>
      </c>
      <c r="E65">
        <v>7126</v>
      </c>
      <c r="F65" t="s">
        <v>19</v>
      </c>
      <c r="G65" t="s">
        <v>2</v>
      </c>
      <c r="H65">
        <v>10325</v>
      </c>
      <c r="I65">
        <v>3199</v>
      </c>
      <c r="J65" t="s">
        <v>9</v>
      </c>
      <c r="K65" t="s">
        <v>777</v>
      </c>
      <c r="L65" t="str">
        <f t="shared" si="0"/>
        <v>2026</v>
      </c>
      <c r="M65" t="str">
        <f>IF(Table1[[#This Row],[Budget Remaining]]&gt;40000,"Safe",IF(Table1[[#This Row],[Budget Remaining]]&gt;20000,"Managed",IF(Table1[[#This Row],[Budget Remaining]]&gt;5000,"Critical","Refill")))</f>
        <v>Refill</v>
      </c>
    </row>
    <row r="66" spans="1:13" x14ac:dyDescent="0.3">
      <c r="A66" t="s">
        <v>776</v>
      </c>
      <c r="B66" t="s">
        <v>105</v>
      </c>
      <c r="C66" t="s">
        <v>69</v>
      </c>
      <c r="D66" t="s">
        <v>116</v>
      </c>
      <c r="E66">
        <v>22230</v>
      </c>
      <c r="F66" t="s">
        <v>10</v>
      </c>
      <c r="G66" t="s">
        <v>2</v>
      </c>
      <c r="H66">
        <v>26785</v>
      </c>
      <c r="I66">
        <v>4555</v>
      </c>
      <c r="J66" t="s">
        <v>1</v>
      </c>
      <c r="K66" t="s">
        <v>775</v>
      </c>
      <c r="L66" t="str">
        <f t="shared" ref="L66:L129" si="2">SUBSTITUTE(2026,1,1)</f>
        <v>2026</v>
      </c>
      <c r="M66" t="str">
        <f>IF(Table1[[#This Row],[Budget Remaining]]&gt;40000,"Safe",IF(Table1[[#This Row],[Budget Remaining]]&gt;20000,"Managed",IF(Table1[[#This Row],[Budget Remaining]]&gt;5000,"Critical","Refill")))</f>
        <v>Refill</v>
      </c>
    </row>
    <row r="67" spans="1:13" x14ac:dyDescent="0.3">
      <c r="A67" t="s">
        <v>774</v>
      </c>
      <c r="B67" t="s">
        <v>105</v>
      </c>
      <c r="C67" t="s">
        <v>41</v>
      </c>
      <c r="D67" t="s">
        <v>340</v>
      </c>
      <c r="E67">
        <v>94588</v>
      </c>
      <c r="F67" t="s">
        <v>10</v>
      </c>
      <c r="G67" t="s">
        <v>2</v>
      </c>
      <c r="H67">
        <v>114895</v>
      </c>
      <c r="I67">
        <v>20307</v>
      </c>
      <c r="J67" t="s">
        <v>67</v>
      </c>
      <c r="K67" t="s">
        <v>773</v>
      </c>
      <c r="L67" t="str">
        <f t="shared" si="2"/>
        <v>2026</v>
      </c>
      <c r="M67" t="str">
        <f>IF(Table1[[#This Row],[Budget Remaining]]&gt;40000,"Safe",IF(Table1[[#This Row],[Budget Remaining]]&gt;20000,"Managed",IF(Table1[[#This Row],[Budget Remaining]]&gt;5000,"Critical","Refill")))</f>
        <v>Managed</v>
      </c>
    </row>
    <row r="68" spans="1:13" x14ac:dyDescent="0.3">
      <c r="A68" t="s">
        <v>772</v>
      </c>
      <c r="B68" t="s">
        <v>105</v>
      </c>
      <c r="C68" t="s">
        <v>32</v>
      </c>
      <c r="D68" t="s">
        <v>110</v>
      </c>
      <c r="E68">
        <v>7094</v>
      </c>
      <c r="F68" t="s">
        <v>19</v>
      </c>
      <c r="G68" t="s">
        <v>2</v>
      </c>
      <c r="H68">
        <v>7608</v>
      </c>
      <c r="I68">
        <v>514</v>
      </c>
      <c r="J68" t="s">
        <v>30</v>
      </c>
      <c r="K68" t="s">
        <v>771</v>
      </c>
      <c r="L68" t="str">
        <f t="shared" si="2"/>
        <v>2026</v>
      </c>
      <c r="M68" t="str">
        <f>IF(Table1[[#This Row],[Budget Remaining]]&gt;40000,"Safe",IF(Table1[[#This Row],[Budget Remaining]]&gt;20000,"Managed",IF(Table1[[#This Row],[Budget Remaining]]&gt;5000,"Critical","Refill")))</f>
        <v>Refill</v>
      </c>
    </row>
    <row r="69" spans="1:13" x14ac:dyDescent="0.3">
      <c r="A69" t="s">
        <v>770</v>
      </c>
      <c r="B69" t="s">
        <v>105</v>
      </c>
      <c r="C69" t="s">
        <v>32</v>
      </c>
      <c r="D69" t="s">
        <v>110</v>
      </c>
      <c r="E69">
        <v>4502</v>
      </c>
      <c r="F69" t="s">
        <v>10</v>
      </c>
      <c r="G69" t="s">
        <v>2</v>
      </c>
      <c r="H69">
        <v>5550</v>
      </c>
      <c r="I69">
        <v>1048</v>
      </c>
      <c r="J69" t="s">
        <v>18</v>
      </c>
      <c r="K69" t="s">
        <v>769</v>
      </c>
      <c r="L69" t="str">
        <f t="shared" si="2"/>
        <v>2026</v>
      </c>
      <c r="M69" t="str">
        <f>IF(Table1[[#This Row],[Budget Remaining]]&gt;40000,"Safe",IF(Table1[[#This Row],[Budget Remaining]]&gt;20000,"Managed",IF(Table1[[#This Row],[Budget Remaining]]&gt;5000,"Critical","Refill")))</f>
        <v>Refill</v>
      </c>
    </row>
    <row r="70" spans="1:13" x14ac:dyDescent="0.3">
      <c r="A70" t="s">
        <v>768</v>
      </c>
      <c r="B70" t="s">
        <v>105</v>
      </c>
      <c r="C70" s="1" t="s">
        <v>12</v>
      </c>
      <c r="D70" t="s">
        <v>197</v>
      </c>
      <c r="E70">
        <v>42173</v>
      </c>
      <c r="F70" t="s">
        <v>3</v>
      </c>
      <c r="G70" t="s">
        <v>2</v>
      </c>
      <c r="H70">
        <v>54863</v>
      </c>
      <c r="I70">
        <v>12690</v>
      </c>
      <c r="J70" t="s">
        <v>18</v>
      </c>
      <c r="K70" t="s">
        <v>767</v>
      </c>
      <c r="L70" t="str">
        <f t="shared" si="2"/>
        <v>2026</v>
      </c>
      <c r="M70" t="str">
        <f>IF(Table1[[#This Row],[Budget Remaining]]&gt;40000,"Safe",IF(Table1[[#This Row],[Budget Remaining]]&gt;20000,"Managed",IF(Table1[[#This Row],[Budget Remaining]]&gt;5000,"Critical","Refill")))</f>
        <v>Critical</v>
      </c>
    </row>
    <row r="71" spans="1:13" x14ac:dyDescent="0.3">
      <c r="A71" t="s">
        <v>766</v>
      </c>
      <c r="B71" t="s">
        <v>41</v>
      </c>
      <c r="C71" t="s">
        <v>5</v>
      </c>
      <c r="D71" t="s">
        <v>175</v>
      </c>
      <c r="E71">
        <v>39614</v>
      </c>
      <c r="F71" t="s">
        <v>35</v>
      </c>
      <c r="G71" t="s">
        <v>2</v>
      </c>
      <c r="H71">
        <v>57295</v>
      </c>
      <c r="I71">
        <v>17681</v>
      </c>
      <c r="J71" t="s">
        <v>30</v>
      </c>
      <c r="K71" t="s">
        <v>765</v>
      </c>
      <c r="L71" t="str">
        <f t="shared" si="2"/>
        <v>2026</v>
      </c>
      <c r="M71" t="str">
        <f>IF(Table1[[#This Row],[Budget Remaining]]&gt;40000,"Safe",IF(Table1[[#This Row],[Budget Remaining]]&gt;20000,"Managed",IF(Table1[[#This Row],[Budget Remaining]]&gt;5000,"Critical","Refill")))</f>
        <v>Critical</v>
      </c>
    </row>
    <row r="72" spans="1:13" x14ac:dyDescent="0.3">
      <c r="A72" t="s">
        <v>764</v>
      </c>
      <c r="B72" t="s">
        <v>41</v>
      </c>
      <c r="C72" t="s">
        <v>21</v>
      </c>
      <c r="D72" t="s">
        <v>255</v>
      </c>
      <c r="E72">
        <v>906</v>
      </c>
      <c r="F72" t="s">
        <v>19</v>
      </c>
      <c r="G72" t="s">
        <v>2</v>
      </c>
      <c r="H72">
        <v>1270</v>
      </c>
      <c r="I72">
        <v>364</v>
      </c>
      <c r="J72" t="s">
        <v>83</v>
      </c>
      <c r="K72" t="s">
        <v>763</v>
      </c>
      <c r="L72" t="str">
        <f t="shared" si="2"/>
        <v>2026</v>
      </c>
      <c r="M72" t="str">
        <f>IF(Table1[[#This Row],[Budget Remaining]]&gt;40000,"Safe",IF(Table1[[#This Row],[Budget Remaining]]&gt;20000,"Managed",IF(Table1[[#This Row],[Budget Remaining]]&gt;5000,"Critical","Refill")))</f>
        <v>Refill</v>
      </c>
    </row>
    <row r="73" spans="1:13" x14ac:dyDescent="0.3">
      <c r="A73" t="s">
        <v>762</v>
      </c>
      <c r="B73" t="s">
        <v>41</v>
      </c>
      <c r="C73" t="s">
        <v>5</v>
      </c>
      <c r="D73" t="s">
        <v>175</v>
      </c>
      <c r="E73">
        <v>31673</v>
      </c>
      <c r="F73" t="s">
        <v>35</v>
      </c>
      <c r="G73" t="s">
        <v>2</v>
      </c>
      <c r="H73">
        <v>34383</v>
      </c>
      <c r="I73">
        <v>2710</v>
      </c>
      <c r="J73" t="s">
        <v>51</v>
      </c>
      <c r="K73" t="s">
        <v>761</v>
      </c>
      <c r="L73" t="str">
        <f t="shared" si="2"/>
        <v>2026</v>
      </c>
      <c r="M73" t="str">
        <f>IF(Table1[[#This Row],[Budget Remaining]]&gt;40000,"Safe",IF(Table1[[#This Row],[Budget Remaining]]&gt;20000,"Managed",IF(Table1[[#This Row],[Budget Remaining]]&gt;5000,"Critical","Refill")))</f>
        <v>Refill</v>
      </c>
    </row>
    <row r="74" spans="1:13" x14ac:dyDescent="0.3">
      <c r="A74" t="s">
        <v>760</v>
      </c>
      <c r="B74" t="s">
        <v>41</v>
      </c>
      <c r="C74" t="s">
        <v>69</v>
      </c>
      <c r="D74" t="s">
        <v>94</v>
      </c>
      <c r="E74">
        <v>3584</v>
      </c>
      <c r="F74" t="s">
        <v>19</v>
      </c>
      <c r="G74" t="s">
        <v>2</v>
      </c>
      <c r="H74">
        <v>4737</v>
      </c>
      <c r="I74">
        <v>1153</v>
      </c>
      <c r="J74" t="s">
        <v>15</v>
      </c>
      <c r="K74" t="s">
        <v>759</v>
      </c>
      <c r="L74" t="str">
        <f t="shared" si="2"/>
        <v>2026</v>
      </c>
      <c r="M74" t="str">
        <f>IF(Table1[[#This Row],[Budget Remaining]]&gt;40000,"Safe",IF(Table1[[#This Row],[Budget Remaining]]&gt;20000,"Managed",IF(Table1[[#This Row],[Budget Remaining]]&gt;5000,"Critical","Refill")))</f>
        <v>Refill</v>
      </c>
    </row>
    <row r="75" spans="1:13" x14ac:dyDescent="0.3">
      <c r="A75" t="s">
        <v>758</v>
      </c>
      <c r="B75" t="s">
        <v>41</v>
      </c>
      <c r="C75" s="1" t="s">
        <v>12</v>
      </c>
      <c r="D75" t="s">
        <v>91</v>
      </c>
      <c r="E75">
        <v>9850</v>
      </c>
      <c r="F75" t="s">
        <v>19</v>
      </c>
      <c r="G75" t="s">
        <v>2</v>
      </c>
      <c r="H75">
        <v>14262</v>
      </c>
      <c r="I75">
        <v>4412</v>
      </c>
      <c r="J75" t="s">
        <v>1</v>
      </c>
      <c r="K75" t="s">
        <v>757</v>
      </c>
      <c r="L75" t="str">
        <f t="shared" si="2"/>
        <v>2026</v>
      </c>
      <c r="M75" t="str">
        <f>IF(Table1[[#This Row],[Budget Remaining]]&gt;40000,"Safe",IF(Table1[[#This Row],[Budget Remaining]]&gt;20000,"Managed",IF(Table1[[#This Row],[Budget Remaining]]&gt;5000,"Critical","Refill")))</f>
        <v>Refill</v>
      </c>
    </row>
    <row r="76" spans="1:13" x14ac:dyDescent="0.3">
      <c r="A76" t="s">
        <v>756</v>
      </c>
      <c r="B76" t="s">
        <v>41</v>
      </c>
      <c r="C76" t="s">
        <v>26</v>
      </c>
      <c r="D76" t="s">
        <v>97</v>
      </c>
      <c r="E76">
        <v>34935</v>
      </c>
      <c r="F76" t="s">
        <v>10</v>
      </c>
      <c r="G76" t="s">
        <v>2</v>
      </c>
      <c r="H76">
        <v>49430</v>
      </c>
      <c r="I76">
        <v>14495</v>
      </c>
      <c r="J76" t="s">
        <v>30</v>
      </c>
      <c r="K76" t="s">
        <v>755</v>
      </c>
      <c r="L76" t="str">
        <f t="shared" si="2"/>
        <v>2026</v>
      </c>
      <c r="M76" t="str">
        <f>IF(Table1[[#This Row],[Budget Remaining]]&gt;40000,"Safe",IF(Table1[[#This Row],[Budget Remaining]]&gt;20000,"Managed",IF(Table1[[#This Row],[Budget Remaining]]&gt;5000,"Critical","Refill")))</f>
        <v>Critical</v>
      </c>
    </row>
    <row r="77" spans="1:13" x14ac:dyDescent="0.3">
      <c r="A77" t="s">
        <v>754</v>
      </c>
      <c r="B77" t="s">
        <v>41</v>
      </c>
      <c r="C77" s="1" t="s">
        <v>12</v>
      </c>
      <c r="D77" t="s">
        <v>91</v>
      </c>
      <c r="E77">
        <v>15455</v>
      </c>
      <c r="F77" t="s">
        <v>35</v>
      </c>
      <c r="G77" t="s">
        <v>24</v>
      </c>
      <c r="H77">
        <v>19755</v>
      </c>
      <c r="I77">
        <v>4300</v>
      </c>
      <c r="J77" t="s">
        <v>1</v>
      </c>
      <c r="K77" t="s">
        <v>753</v>
      </c>
      <c r="L77" t="str">
        <f t="shared" si="2"/>
        <v>2026</v>
      </c>
      <c r="M77" t="str">
        <f>IF(Table1[[#This Row],[Budget Remaining]]&gt;40000,"Safe",IF(Table1[[#This Row],[Budget Remaining]]&gt;20000,"Managed",IF(Table1[[#This Row],[Budget Remaining]]&gt;5000,"Critical","Refill")))</f>
        <v>Refill</v>
      </c>
    </row>
    <row r="78" spans="1:13" x14ac:dyDescent="0.3">
      <c r="A78" t="s">
        <v>752</v>
      </c>
      <c r="B78" t="s">
        <v>41</v>
      </c>
      <c r="C78" t="s">
        <v>69</v>
      </c>
      <c r="D78" t="s">
        <v>94</v>
      </c>
      <c r="E78">
        <v>25821</v>
      </c>
      <c r="F78" t="s">
        <v>19</v>
      </c>
      <c r="G78" t="s">
        <v>2</v>
      </c>
      <c r="H78">
        <v>38525</v>
      </c>
      <c r="I78">
        <v>12704</v>
      </c>
      <c r="J78" t="s">
        <v>51</v>
      </c>
      <c r="K78" t="s">
        <v>751</v>
      </c>
      <c r="L78" t="str">
        <f t="shared" si="2"/>
        <v>2026</v>
      </c>
      <c r="M78" t="str">
        <f>IF(Table1[[#This Row],[Budget Remaining]]&gt;40000,"Safe",IF(Table1[[#This Row],[Budget Remaining]]&gt;20000,"Managed",IF(Table1[[#This Row],[Budget Remaining]]&gt;5000,"Critical","Refill")))</f>
        <v>Critical</v>
      </c>
    </row>
    <row r="79" spans="1:13" x14ac:dyDescent="0.3">
      <c r="A79" t="s">
        <v>750</v>
      </c>
      <c r="B79" t="s">
        <v>80</v>
      </c>
      <c r="C79" t="s">
        <v>21</v>
      </c>
      <c r="D79" t="s">
        <v>79</v>
      </c>
      <c r="E79">
        <v>891</v>
      </c>
      <c r="F79" t="s">
        <v>19</v>
      </c>
      <c r="G79" t="s">
        <v>2</v>
      </c>
      <c r="H79">
        <v>1259</v>
      </c>
      <c r="I79">
        <v>368</v>
      </c>
      <c r="J79" t="s">
        <v>83</v>
      </c>
      <c r="K79" t="s">
        <v>749</v>
      </c>
      <c r="L79" t="str">
        <f t="shared" si="2"/>
        <v>2026</v>
      </c>
      <c r="M79" t="str">
        <f>IF(Table1[[#This Row],[Budget Remaining]]&gt;40000,"Safe",IF(Table1[[#This Row],[Budget Remaining]]&gt;20000,"Managed",IF(Table1[[#This Row],[Budget Remaining]]&gt;5000,"Critical","Refill")))</f>
        <v>Refill</v>
      </c>
    </row>
    <row r="80" spans="1:13" x14ac:dyDescent="0.3">
      <c r="A80" t="s">
        <v>748</v>
      </c>
      <c r="B80" t="s">
        <v>80</v>
      </c>
      <c r="C80" t="s">
        <v>41</v>
      </c>
      <c r="D80" t="s">
        <v>230</v>
      </c>
      <c r="E80">
        <v>33073</v>
      </c>
      <c r="F80" t="s">
        <v>10</v>
      </c>
      <c r="G80" t="s">
        <v>24</v>
      </c>
      <c r="H80">
        <v>36234</v>
      </c>
      <c r="I80">
        <v>3161</v>
      </c>
      <c r="J80" t="s">
        <v>1</v>
      </c>
      <c r="K80" t="s">
        <v>747</v>
      </c>
      <c r="L80" t="str">
        <f t="shared" si="2"/>
        <v>2026</v>
      </c>
      <c r="M80" t="str">
        <f>IF(Table1[[#This Row],[Budget Remaining]]&gt;40000,"Safe",IF(Table1[[#This Row],[Budget Remaining]]&gt;20000,"Managed",IF(Table1[[#This Row],[Budget Remaining]]&gt;5000,"Critical","Refill")))</f>
        <v>Refill</v>
      </c>
    </row>
    <row r="81" spans="1:13" x14ac:dyDescent="0.3">
      <c r="A81" t="s">
        <v>746</v>
      </c>
      <c r="B81" t="s">
        <v>80</v>
      </c>
      <c r="C81" t="s">
        <v>69</v>
      </c>
      <c r="D81" t="s">
        <v>88</v>
      </c>
      <c r="E81">
        <v>28721</v>
      </c>
      <c r="F81" t="s">
        <v>10</v>
      </c>
      <c r="G81" t="s">
        <v>2</v>
      </c>
      <c r="H81">
        <v>29340</v>
      </c>
      <c r="I81">
        <v>619</v>
      </c>
      <c r="J81" t="s">
        <v>15</v>
      </c>
      <c r="K81" t="s">
        <v>745</v>
      </c>
      <c r="L81" t="str">
        <f t="shared" si="2"/>
        <v>2026</v>
      </c>
      <c r="M81" t="str">
        <f>IF(Table1[[#This Row],[Budget Remaining]]&gt;40000,"Safe",IF(Table1[[#This Row],[Budget Remaining]]&gt;20000,"Managed",IF(Table1[[#This Row],[Budget Remaining]]&gt;5000,"Critical","Refill")))</f>
        <v>Refill</v>
      </c>
    </row>
    <row r="82" spans="1:13" x14ac:dyDescent="0.3">
      <c r="A82" t="s">
        <v>744</v>
      </c>
      <c r="B82" t="s">
        <v>55</v>
      </c>
      <c r="C82" s="1" t="s">
        <v>12</v>
      </c>
      <c r="D82" t="s">
        <v>153</v>
      </c>
      <c r="E82">
        <v>40377</v>
      </c>
      <c r="F82" t="s">
        <v>35</v>
      </c>
      <c r="G82" t="s">
        <v>2</v>
      </c>
      <c r="H82">
        <v>54482</v>
      </c>
      <c r="I82">
        <v>14105</v>
      </c>
      <c r="J82" t="s">
        <v>9</v>
      </c>
      <c r="K82" t="s">
        <v>743</v>
      </c>
      <c r="L82" t="str">
        <f t="shared" si="2"/>
        <v>2026</v>
      </c>
      <c r="M82" t="str">
        <f>IF(Table1[[#This Row],[Budget Remaining]]&gt;40000,"Safe",IF(Table1[[#This Row],[Budget Remaining]]&gt;20000,"Managed",IF(Table1[[#This Row],[Budget Remaining]]&gt;5000,"Critical","Refill")))</f>
        <v>Critical</v>
      </c>
    </row>
    <row r="83" spans="1:13" x14ac:dyDescent="0.3">
      <c r="A83" t="s">
        <v>742</v>
      </c>
      <c r="B83" t="s">
        <v>55</v>
      </c>
      <c r="C83" t="s">
        <v>41</v>
      </c>
      <c r="D83" t="s">
        <v>58</v>
      </c>
      <c r="E83">
        <v>118342</v>
      </c>
      <c r="F83" t="s">
        <v>19</v>
      </c>
      <c r="G83" t="s">
        <v>24</v>
      </c>
      <c r="H83">
        <v>156028</v>
      </c>
      <c r="I83">
        <v>37686</v>
      </c>
      <c r="J83" t="s">
        <v>18</v>
      </c>
      <c r="K83" t="s">
        <v>741</v>
      </c>
      <c r="L83" t="str">
        <f t="shared" si="2"/>
        <v>2026</v>
      </c>
      <c r="M83" t="str">
        <f>IF(Table1[[#This Row],[Budget Remaining]]&gt;40000,"Safe",IF(Table1[[#This Row],[Budget Remaining]]&gt;20000,"Managed",IF(Table1[[#This Row],[Budget Remaining]]&gt;5000,"Critical","Refill")))</f>
        <v>Managed</v>
      </c>
    </row>
    <row r="84" spans="1:13" x14ac:dyDescent="0.3">
      <c r="A84" t="s">
        <v>740</v>
      </c>
      <c r="B84" t="s">
        <v>55</v>
      </c>
      <c r="C84" t="s">
        <v>26</v>
      </c>
      <c r="D84" t="s">
        <v>61</v>
      </c>
      <c r="E84">
        <v>183347</v>
      </c>
      <c r="F84" t="s">
        <v>10</v>
      </c>
      <c r="G84" t="s">
        <v>2</v>
      </c>
      <c r="H84">
        <v>228277</v>
      </c>
      <c r="I84">
        <v>44930</v>
      </c>
      <c r="J84" t="s">
        <v>100</v>
      </c>
      <c r="K84" t="s">
        <v>739</v>
      </c>
      <c r="L84" t="str">
        <f t="shared" si="2"/>
        <v>2026</v>
      </c>
      <c r="M84" t="str">
        <f>IF(Table1[[#This Row],[Budget Remaining]]&gt;40000,"Safe",IF(Table1[[#This Row],[Budget Remaining]]&gt;20000,"Managed",IF(Table1[[#This Row],[Budget Remaining]]&gt;5000,"Critical","Refill")))</f>
        <v>Safe</v>
      </c>
    </row>
    <row r="85" spans="1:13" x14ac:dyDescent="0.3">
      <c r="A85" t="s">
        <v>738</v>
      </c>
      <c r="B85" t="s">
        <v>55</v>
      </c>
      <c r="C85" t="s">
        <v>69</v>
      </c>
      <c r="D85" t="s">
        <v>68</v>
      </c>
      <c r="E85">
        <v>28106</v>
      </c>
      <c r="F85" t="s">
        <v>10</v>
      </c>
      <c r="G85" t="s">
        <v>24</v>
      </c>
      <c r="H85">
        <v>32269</v>
      </c>
      <c r="I85">
        <v>4163</v>
      </c>
      <c r="J85" t="s">
        <v>100</v>
      </c>
      <c r="K85" t="s">
        <v>737</v>
      </c>
      <c r="L85" t="str">
        <f t="shared" si="2"/>
        <v>2026</v>
      </c>
      <c r="M85" t="str">
        <f>IF(Table1[[#This Row],[Budget Remaining]]&gt;40000,"Safe",IF(Table1[[#This Row],[Budget Remaining]]&gt;20000,"Managed",IF(Table1[[#This Row],[Budget Remaining]]&gt;5000,"Critical","Refill")))</f>
        <v>Refill</v>
      </c>
    </row>
    <row r="86" spans="1:13" x14ac:dyDescent="0.3">
      <c r="A86" t="s">
        <v>736</v>
      </c>
      <c r="B86" t="s">
        <v>55</v>
      </c>
      <c r="C86" t="s">
        <v>21</v>
      </c>
      <c r="D86" t="s">
        <v>522</v>
      </c>
      <c r="E86">
        <v>6193</v>
      </c>
      <c r="F86" t="s">
        <v>19</v>
      </c>
      <c r="G86" t="s">
        <v>2</v>
      </c>
      <c r="H86">
        <v>6435</v>
      </c>
      <c r="I86">
        <v>242</v>
      </c>
      <c r="J86" t="s">
        <v>1</v>
      </c>
      <c r="K86" t="s">
        <v>735</v>
      </c>
      <c r="L86" t="str">
        <f t="shared" si="2"/>
        <v>2026</v>
      </c>
      <c r="M86" t="str">
        <f>IF(Table1[[#This Row],[Budget Remaining]]&gt;40000,"Safe",IF(Table1[[#This Row],[Budget Remaining]]&gt;20000,"Managed",IF(Table1[[#This Row],[Budget Remaining]]&gt;5000,"Critical","Refill")))</f>
        <v>Refill</v>
      </c>
    </row>
    <row r="87" spans="1:13" x14ac:dyDescent="0.3">
      <c r="A87" t="s">
        <v>734</v>
      </c>
      <c r="B87" t="s">
        <v>55</v>
      </c>
      <c r="C87" t="s">
        <v>21</v>
      </c>
      <c r="D87" t="s">
        <v>522</v>
      </c>
      <c r="E87">
        <v>4335</v>
      </c>
      <c r="F87" t="s">
        <v>35</v>
      </c>
      <c r="G87" t="s">
        <v>2</v>
      </c>
      <c r="H87">
        <v>6109</v>
      </c>
      <c r="I87">
        <v>1774</v>
      </c>
      <c r="J87" t="s">
        <v>30</v>
      </c>
      <c r="K87" t="s">
        <v>733</v>
      </c>
      <c r="L87" t="str">
        <f t="shared" si="2"/>
        <v>2026</v>
      </c>
      <c r="M87" t="str">
        <f>IF(Table1[[#This Row],[Budget Remaining]]&gt;40000,"Safe",IF(Table1[[#This Row],[Budget Remaining]]&gt;20000,"Managed",IF(Table1[[#This Row],[Budget Remaining]]&gt;5000,"Critical","Refill")))</f>
        <v>Refill</v>
      </c>
    </row>
    <row r="88" spans="1:13" x14ac:dyDescent="0.3">
      <c r="A88" t="s">
        <v>732</v>
      </c>
      <c r="B88" t="s">
        <v>55</v>
      </c>
      <c r="C88" t="s">
        <v>32</v>
      </c>
      <c r="D88" t="s">
        <v>64</v>
      </c>
      <c r="E88">
        <v>13459</v>
      </c>
      <c r="F88" t="s">
        <v>35</v>
      </c>
      <c r="G88" t="s">
        <v>2</v>
      </c>
      <c r="H88">
        <v>19814</v>
      </c>
      <c r="I88">
        <v>6355</v>
      </c>
      <c r="J88" t="s">
        <v>18</v>
      </c>
      <c r="K88" t="s">
        <v>731</v>
      </c>
      <c r="L88" t="str">
        <f t="shared" si="2"/>
        <v>2026</v>
      </c>
      <c r="M88" t="str">
        <f>IF(Table1[[#This Row],[Budget Remaining]]&gt;40000,"Safe",IF(Table1[[#This Row],[Budget Remaining]]&gt;20000,"Managed",IF(Table1[[#This Row],[Budget Remaining]]&gt;5000,"Critical","Refill")))</f>
        <v>Critical</v>
      </c>
    </row>
    <row r="89" spans="1:13" x14ac:dyDescent="0.3">
      <c r="A89" t="s">
        <v>730</v>
      </c>
      <c r="B89" t="s">
        <v>55</v>
      </c>
      <c r="C89" t="s">
        <v>41</v>
      </c>
      <c r="D89" t="s">
        <v>58</v>
      </c>
      <c r="E89">
        <v>67353</v>
      </c>
      <c r="F89" t="s">
        <v>35</v>
      </c>
      <c r="G89" t="s">
        <v>24</v>
      </c>
      <c r="H89">
        <v>98224</v>
      </c>
      <c r="I89">
        <v>30871</v>
      </c>
      <c r="J89" t="s">
        <v>18</v>
      </c>
      <c r="K89" t="s">
        <v>729</v>
      </c>
      <c r="L89" t="str">
        <f t="shared" si="2"/>
        <v>2026</v>
      </c>
      <c r="M89" t="str">
        <f>IF(Table1[[#This Row],[Budget Remaining]]&gt;40000,"Safe",IF(Table1[[#This Row],[Budget Remaining]]&gt;20000,"Managed",IF(Table1[[#This Row],[Budget Remaining]]&gt;5000,"Critical","Refill")))</f>
        <v>Managed</v>
      </c>
    </row>
    <row r="90" spans="1:13" x14ac:dyDescent="0.3">
      <c r="A90" t="s">
        <v>728</v>
      </c>
      <c r="B90" t="s">
        <v>27</v>
      </c>
      <c r="C90" t="s">
        <v>21</v>
      </c>
      <c r="D90" t="s">
        <v>45</v>
      </c>
      <c r="E90">
        <v>1062</v>
      </c>
      <c r="F90" t="s">
        <v>10</v>
      </c>
      <c r="G90" t="s">
        <v>24</v>
      </c>
      <c r="H90">
        <v>1210</v>
      </c>
      <c r="I90">
        <v>148</v>
      </c>
      <c r="J90" t="s">
        <v>67</v>
      </c>
      <c r="K90" t="s">
        <v>727</v>
      </c>
      <c r="L90" t="str">
        <f t="shared" si="2"/>
        <v>2026</v>
      </c>
      <c r="M90" t="str">
        <f>IF(Table1[[#This Row],[Budget Remaining]]&gt;40000,"Safe",IF(Table1[[#This Row],[Budget Remaining]]&gt;20000,"Managed",IF(Table1[[#This Row],[Budget Remaining]]&gt;5000,"Critical","Refill")))</f>
        <v>Refill</v>
      </c>
    </row>
    <row r="91" spans="1:13" x14ac:dyDescent="0.3">
      <c r="A91" t="s">
        <v>726</v>
      </c>
      <c r="B91" t="s">
        <v>27</v>
      </c>
      <c r="C91" t="s">
        <v>26</v>
      </c>
      <c r="D91" t="s">
        <v>25</v>
      </c>
      <c r="E91">
        <v>38094</v>
      </c>
      <c r="F91" t="s">
        <v>19</v>
      </c>
      <c r="G91" t="s">
        <v>2</v>
      </c>
      <c r="H91">
        <v>52285</v>
      </c>
      <c r="I91">
        <v>14191</v>
      </c>
      <c r="J91" t="s">
        <v>9</v>
      </c>
      <c r="K91" t="s">
        <v>725</v>
      </c>
      <c r="L91" t="str">
        <f t="shared" si="2"/>
        <v>2026</v>
      </c>
      <c r="M91" t="str">
        <f>IF(Table1[[#This Row],[Budget Remaining]]&gt;40000,"Safe",IF(Table1[[#This Row],[Budget Remaining]]&gt;20000,"Managed",IF(Table1[[#This Row],[Budget Remaining]]&gt;5000,"Critical","Refill")))</f>
        <v>Critical</v>
      </c>
    </row>
    <row r="92" spans="1:13" x14ac:dyDescent="0.3">
      <c r="A92" t="s">
        <v>724</v>
      </c>
      <c r="B92" t="s">
        <v>27</v>
      </c>
      <c r="C92" t="s">
        <v>37</v>
      </c>
      <c r="D92" t="s">
        <v>36</v>
      </c>
      <c r="E92">
        <v>67421</v>
      </c>
      <c r="F92" t="s">
        <v>10</v>
      </c>
      <c r="G92" t="s">
        <v>2</v>
      </c>
      <c r="H92">
        <v>89733</v>
      </c>
      <c r="I92">
        <v>22312</v>
      </c>
      <c r="J92" t="s">
        <v>67</v>
      </c>
      <c r="K92" t="s">
        <v>723</v>
      </c>
      <c r="L92" t="str">
        <f t="shared" si="2"/>
        <v>2026</v>
      </c>
      <c r="M92" t="str">
        <f>IF(Table1[[#This Row],[Budget Remaining]]&gt;40000,"Safe",IF(Table1[[#This Row],[Budget Remaining]]&gt;20000,"Managed",IF(Table1[[#This Row],[Budget Remaining]]&gt;5000,"Critical","Refill")))</f>
        <v>Managed</v>
      </c>
    </row>
    <row r="93" spans="1:13" x14ac:dyDescent="0.3">
      <c r="A93" t="s">
        <v>722</v>
      </c>
      <c r="B93" t="s">
        <v>27</v>
      </c>
      <c r="C93" t="s">
        <v>5</v>
      </c>
      <c r="D93" t="s">
        <v>48</v>
      </c>
      <c r="E93">
        <v>25227</v>
      </c>
      <c r="F93" t="s">
        <v>35</v>
      </c>
      <c r="G93" t="s">
        <v>24</v>
      </c>
      <c r="H93">
        <v>30669</v>
      </c>
      <c r="I93">
        <v>5442</v>
      </c>
      <c r="J93" t="s">
        <v>83</v>
      </c>
      <c r="K93" t="s">
        <v>721</v>
      </c>
      <c r="L93" t="str">
        <f t="shared" si="2"/>
        <v>2026</v>
      </c>
      <c r="M93" t="str">
        <f>IF(Table1[[#This Row],[Budget Remaining]]&gt;40000,"Safe",IF(Table1[[#This Row],[Budget Remaining]]&gt;20000,"Managed",IF(Table1[[#This Row],[Budget Remaining]]&gt;5000,"Critical","Refill")))</f>
        <v>Critical</v>
      </c>
    </row>
    <row r="94" spans="1:13" x14ac:dyDescent="0.3">
      <c r="A94" t="s">
        <v>720</v>
      </c>
      <c r="B94" t="s">
        <v>27</v>
      </c>
      <c r="C94" t="s">
        <v>32</v>
      </c>
      <c r="D94" t="s">
        <v>31</v>
      </c>
      <c r="E94">
        <v>1870</v>
      </c>
      <c r="F94" t="s">
        <v>19</v>
      </c>
      <c r="G94" t="s">
        <v>2</v>
      </c>
      <c r="H94">
        <v>2283</v>
      </c>
      <c r="I94">
        <v>413</v>
      </c>
      <c r="J94" t="s">
        <v>83</v>
      </c>
      <c r="K94" t="s">
        <v>719</v>
      </c>
      <c r="L94" t="str">
        <f t="shared" si="2"/>
        <v>2026</v>
      </c>
      <c r="M94" t="str">
        <f>IF(Table1[[#This Row],[Budget Remaining]]&gt;40000,"Safe",IF(Table1[[#This Row],[Budget Remaining]]&gt;20000,"Managed",IF(Table1[[#This Row],[Budget Remaining]]&gt;5000,"Critical","Refill")))</f>
        <v>Refill</v>
      </c>
    </row>
    <row r="95" spans="1:13" x14ac:dyDescent="0.3">
      <c r="A95" t="s">
        <v>718</v>
      </c>
      <c r="B95" t="s">
        <v>27</v>
      </c>
      <c r="C95" t="s">
        <v>21</v>
      </c>
      <c r="D95" t="s">
        <v>45</v>
      </c>
      <c r="E95">
        <v>2908</v>
      </c>
      <c r="F95" t="s">
        <v>10</v>
      </c>
      <c r="G95" t="s">
        <v>24</v>
      </c>
      <c r="H95">
        <v>3183</v>
      </c>
      <c r="I95">
        <v>275</v>
      </c>
      <c r="J95" t="s">
        <v>51</v>
      </c>
      <c r="K95" t="s">
        <v>717</v>
      </c>
      <c r="L95" t="str">
        <f t="shared" si="2"/>
        <v>2026</v>
      </c>
      <c r="M95" t="str">
        <f>IF(Table1[[#This Row],[Budget Remaining]]&gt;40000,"Safe",IF(Table1[[#This Row],[Budget Remaining]]&gt;20000,"Managed",IF(Table1[[#This Row],[Budget Remaining]]&gt;5000,"Critical","Refill")))</f>
        <v>Refill</v>
      </c>
    </row>
    <row r="96" spans="1:13" x14ac:dyDescent="0.3">
      <c r="A96" t="s">
        <v>716</v>
      </c>
      <c r="B96" s="1" t="s">
        <v>6</v>
      </c>
      <c r="C96" s="1" t="s">
        <v>12</v>
      </c>
      <c r="D96" t="s">
        <v>11</v>
      </c>
      <c r="E96">
        <v>19311</v>
      </c>
      <c r="F96" t="s">
        <v>3</v>
      </c>
      <c r="G96" t="s">
        <v>2</v>
      </c>
      <c r="H96">
        <v>25888</v>
      </c>
      <c r="I96">
        <v>6577</v>
      </c>
      <c r="J96" t="s">
        <v>100</v>
      </c>
      <c r="K96" t="s">
        <v>715</v>
      </c>
      <c r="L96" t="str">
        <f t="shared" si="2"/>
        <v>2026</v>
      </c>
      <c r="M96" t="str">
        <f>IF(Table1[[#This Row],[Budget Remaining]]&gt;40000,"Safe",IF(Table1[[#This Row],[Budget Remaining]]&gt;20000,"Managed",IF(Table1[[#This Row],[Budget Remaining]]&gt;5000,"Critical","Refill")))</f>
        <v>Critical</v>
      </c>
    </row>
    <row r="97" spans="1:13" x14ac:dyDescent="0.3">
      <c r="A97" t="s">
        <v>714</v>
      </c>
      <c r="B97" s="1" t="s">
        <v>6</v>
      </c>
      <c r="C97" t="s">
        <v>37</v>
      </c>
      <c r="D97" t="s">
        <v>347</v>
      </c>
      <c r="E97">
        <v>9677</v>
      </c>
      <c r="F97" t="s">
        <v>19</v>
      </c>
      <c r="G97" t="s">
        <v>24</v>
      </c>
      <c r="H97">
        <v>12460</v>
      </c>
      <c r="I97">
        <v>2783</v>
      </c>
      <c r="J97" t="s">
        <v>67</v>
      </c>
      <c r="K97" t="s">
        <v>713</v>
      </c>
      <c r="L97" t="str">
        <f t="shared" si="2"/>
        <v>2026</v>
      </c>
      <c r="M97" t="str">
        <f>IF(Table1[[#This Row],[Budget Remaining]]&gt;40000,"Safe",IF(Table1[[#This Row],[Budget Remaining]]&gt;20000,"Managed",IF(Table1[[#This Row],[Budget Remaining]]&gt;5000,"Critical","Refill")))</f>
        <v>Refill</v>
      </c>
    </row>
    <row r="98" spans="1:13" x14ac:dyDescent="0.3">
      <c r="A98" t="s">
        <v>712</v>
      </c>
      <c r="B98" s="1" t="s">
        <v>6</v>
      </c>
      <c r="C98" t="s">
        <v>21</v>
      </c>
      <c r="D98" t="s">
        <v>20</v>
      </c>
      <c r="E98">
        <v>7730</v>
      </c>
      <c r="F98" t="s">
        <v>35</v>
      </c>
      <c r="G98" t="s">
        <v>2</v>
      </c>
      <c r="H98">
        <v>10127</v>
      </c>
      <c r="I98">
        <v>2397</v>
      </c>
      <c r="J98" t="s">
        <v>83</v>
      </c>
      <c r="K98" t="s">
        <v>711</v>
      </c>
      <c r="L98" t="str">
        <f t="shared" si="2"/>
        <v>2026</v>
      </c>
      <c r="M98" t="str">
        <f>IF(Table1[[#This Row],[Budget Remaining]]&gt;40000,"Safe",IF(Table1[[#This Row],[Budget Remaining]]&gt;20000,"Managed",IF(Table1[[#This Row],[Budget Remaining]]&gt;5000,"Critical","Refill")))</f>
        <v>Refill</v>
      </c>
    </row>
    <row r="99" spans="1:13" x14ac:dyDescent="0.3">
      <c r="A99" t="s">
        <v>710</v>
      </c>
      <c r="B99" s="1" t="s">
        <v>6</v>
      </c>
      <c r="C99" t="s">
        <v>21</v>
      </c>
      <c r="D99" t="s">
        <v>20</v>
      </c>
      <c r="E99">
        <v>6512</v>
      </c>
      <c r="F99" t="s">
        <v>10</v>
      </c>
      <c r="G99" t="s">
        <v>2</v>
      </c>
      <c r="H99">
        <v>9195</v>
      </c>
      <c r="I99">
        <v>2683</v>
      </c>
      <c r="J99" t="s">
        <v>100</v>
      </c>
      <c r="K99" t="s">
        <v>709</v>
      </c>
      <c r="L99" t="str">
        <f t="shared" si="2"/>
        <v>2026</v>
      </c>
      <c r="M99" t="str">
        <f>IF(Table1[[#This Row],[Budget Remaining]]&gt;40000,"Safe",IF(Table1[[#This Row],[Budget Remaining]]&gt;20000,"Managed",IF(Table1[[#This Row],[Budget Remaining]]&gt;5000,"Critical","Refill")))</f>
        <v>Refill</v>
      </c>
    </row>
    <row r="100" spans="1:13" x14ac:dyDescent="0.3">
      <c r="A100" t="s">
        <v>708</v>
      </c>
      <c r="B100" s="1" t="s">
        <v>6</v>
      </c>
      <c r="C100" t="s">
        <v>21</v>
      </c>
      <c r="D100" t="s">
        <v>20</v>
      </c>
      <c r="E100">
        <v>3347</v>
      </c>
      <c r="F100" t="s">
        <v>10</v>
      </c>
      <c r="G100" t="s">
        <v>2</v>
      </c>
      <c r="H100">
        <v>4413</v>
      </c>
      <c r="I100">
        <v>1066</v>
      </c>
      <c r="J100" t="s">
        <v>67</v>
      </c>
      <c r="K100" t="s">
        <v>707</v>
      </c>
      <c r="L100" t="str">
        <f t="shared" si="2"/>
        <v>2026</v>
      </c>
      <c r="M100" t="str">
        <f>IF(Table1[[#This Row],[Budget Remaining]]&gt;40000,"Safe",IF(Table1[[#This Row],[Budget Remaining]]&gt;20000,"Managed",IF(Table1[[#This Row],[Budget Remaining]]&gt;5000,"Critical","Refill")))</f>
        <v>Refill</v>
      </c>
    </row>
    <row r="101" spans="1:13" x14ac:dyDescent="0.3">
      <c r="A101" t="s">
        <v>706</v>
      </c>
      <c r="B101" s="1" t="s">
        <v>6</v>
      </c>
      <c r="C101" t="s">
        <v>26</v>
      </c>
      <c r="D101" t="s">
        <v>127</v>
      </c>
      <c r="E101">
        <v>90038</v>
      </c>
      <c r="F101" t="s">
        <v>3</v>
      </c>
      <c r="G101" t="s">
        <v>2</v>
      </c>
      <c r="H101">
        <v>128420</v>
      </c>
      <c r="I101">
        <v>38382</v>
      </c>
      <c r="J101" t="s">
        <v>30</v>
      </c>
      <c r="K101" t="s">
        <v>705</v>
      </c>
      <c r="L101" t="str">
        <f t="shared" si="2"/>
        <v>2026</v>
      </c>
      <c r="M101" t="str">
        <f>IF(Table1[[#This Row],[Budget Remaining]]&gt;40000,"Safe",IF(Table1[[#This Row],[Budget Remaining]]&gt;20000,"Managed",IF(Table1[[#This Row],[Budget Remaining]]&gt;5000,"Critical","Refill")))</f>
        <v>Managed</v>
      </c>
    </row>
    <row r="102" spans="1:13" x14ac:dyDescent="0.3">
      <c r="A102" t="s">
        <v>704</v>
      </c>
      <c r="B102" s="1" t="s">
        <v>6</v>
      </c>
      <c r="C102" t="s">
        <v>5</v>
      </c>
      <c r="D102" t="s">
        <v>4</v>
      </c>
      <c r="E102">
        <v>12921</v>
      </c>
      <c r="F102" t="s">
        <v>3</v>
      </c>
      <c r="G102" t="s">
        <v>2</v>
      </c>
      <c r="H102">
        <v>14131</v>
      </c>
      <c r="I102">
        <v>1210</v>
      </c>
      <c r="J102" t="s">
        <v>44</v>
      </c>
      <c r="K102" t="s">
        <v>703</v>
      </c>
      <c r="L102" t="str">
        <f t="shared" si="2"/>
        <v>2026</v>
      </c>
      <c r="M102" t="str">
        <f>IF(Table1[[#This Row],[Budget Remaining]]&gt;40000,"Safe",IF(Table1[[#This Row],[Budget Remaining]]&gt;20000,"Managed",IF(Table1[[#This Row],[Budget Remaining]]&gt;5000,"Critical","Refill")))</f>
        <v>Refill</v>
      </c>
    </row>
    <row r="103" spans="1:13" x14ac:dyDescent="0.3">
      <c r="A103" t="s">
        <v>702</v>
      </c>
      <c r="B103" t="s">
        <v>105</v>
      </c>
      <c r="C103" t="s">
        <v>37</v>
      </c>
      <c r="D103" t="s">
        <v>189</v>
      </c>
      <c r="E103">
        <v>28267</v>
      </c>
      <c r="F103" t="s">
        <v>3</v>
      </c>
      <c r="G103" t="s">
        <v>2</v>
      </c>
      <c r="H103">
        <v>42038</v>
      </c>
      <c r="I103">
        <v>13771</v>
      </c>
      <c r="J103" t="s">
        <v>51</v>
      </c>
      <c r="K103" t="s">
        <v>701</v>
      </c>
      <c r="L103" t="str">
        <f t="shared" si="2"/>
        <v>2026</v>
      </c>
      <c r="M103" t="str">
        <f>IF(Table1[[#This Row],[Budget Remaining]]&gt;40000,"Safe",IF(Table1[[#This Row],[Budget Remaining]]&gt;20000,"Managed",IF(Table1[[#This Row],[Budget Remaining]]&gt;5000,"Critical","Refill")))</f>
        <v>Critical</v>
      </c>
    </row>
    <row r="104" spans="1:13" x14ac:dyDescent="0.3">
      <c r="A104" t="s">
        <v>700</v>
      </c>
      <c r="B104" t="s">
        <v>105</v>
      </c>
      <c r="C104" t="s">
        <v>26</v>
      </c>
      <c r="D104" t="s">
        <v>113</v>
      </c>
      <c r="E104">
        <v>162871</v>
      </c>
      <c r="F104" t="s">
        <v>3</v>
      </c>
      <c r="G104" t="s">
        <v>2</v>
      </c>
      <c r="H104">
        <v>162953</v>
      </c>
      <c r="I104">
        <v>82</v>
      </c>
      <c r="J104" t="s">
        <v>67</v>
      </c>
      <c r="K104" t="s">
        <v>699</v>
      </c>
      <c r="L104" t="str">
        <f t="shared" si="2"/>
        <v>2026</v>
      </c>
      <c r="M104" t="str">
        <f>IF(Table1[[#This Row],[Budget Remaining]]&gt;40000,"Safe",IF(Table1[[#This Row],[Budget Remaining]]&gt;20000,"Managed",IF(Table1[[#This Row],[Budget Remaining]]&gt;5000,"Critical","Refill")))</f>
        <v>Refill</v>
      </c>
    </row>
    <row r="105" spans="1:13" x14ac:dyDescent="0.3">
      <c r="A105" t="s">
        <v>698</v>
      </c>
      <c r="B105" t="s">
        <v>105</v>
      </c>
      <c r="C105" t="s">
        <v>37</v>
      </c>
      <c r="D105" t="s">
        <v>189</v>
      </c>
      <c r="E105">
        <v>79352</v>
      </c>
      <c r="F105" t="s">
        <v>3</v>
      </c>
      <c r="G105" t="s">
        <v>24</v>
      </c>
      <c r="H105">
        <v>106334</v>
      </c>
      <c r="I105">
        <v>26982</v>
      </c>
      <c r="J105" t="s">
        <v>18</v>
      </c>
      <c r="K105" t="s">
        <v>697</v>
      </c>
      <c r="L105" t="str">
        <f t="shared" si="2"/>
        <v>2026</v>
      </c>
      <c r="M105" t="str">
        <f>IF(Table1[[#This Row],[Budget Remaining]]&gt;40000,"Safe",IF(Table1[[#This Row],[Budget Remaining]]&gt;20000,"Managed",IF(Table1[[#This Row],[Budget Remaining]]&gt;5000,"Critical","Refill")))</f>
        <v>Managed</v>
      </c>
    </row>
    <row r="106" spans="1:13" x14ac:dyDescent="0.3">
      <c r="A106" t="s">
        <v>696</v>
      </c>
      <c r="B106" t="s">
        <v>105</v>
      </c>
      <c r="C106" t="s">
        <v>41</v>
      </c>
      <c r="D106" t="s">
        <v>340</v>
      </c>
      <c r="E106">
        <v>34617</v>
      </c>
      <c r="F106" t="s">
        <v>10</v>
      </c>
      <c r="G106" t="s">
        <v>2</v>
      </c>
      <c r="H106">
        <v>36348</v>
      </c>
      <c r="I106">
        <v>1731</v>
      </c>
      <c r="J106" t="s">
        <v>44</v>
      </c>
      <c r="K106" t="s">
        <v>695</v>
      </c>
      <c r="L106" t="str">
        <f t="shared" si="2"/>
        <v>2026</v>
      </c>
      <c r="M106" t="str">
        <f>IF(Table1[[#This Row],[Budget Remaining]]&gt;40000,"Safe",IF(Table1[[#This Row],[Budget Remaining]]&gt;20000,"Managed",IF(Table1[[#This Row],[Budget Remaining]]&gt;5000,"Critical","Refill")))</f>
        <v>Refill</v>
      </c>
    </row>
    <row r="107" spans="1:13" x14ac:dyDescent="0.3">
      <c r="A107" t="s">
        <v>694</v>
      </c>
      <c r="B107" t="s">
        <v>105</v>
      </c>
      <c r="C107" t="s">
        <v>69</v>
      </c>
      <c r="D107" t="s">
        <v>116</v>
      </c>
      <c r="E107">
        <v>24738</v>
      </c>
      <c r="F107" t="s">
        <v>35</v>
      </c>
      <c r="G107" t="s">
        <v>2</v>
      </c>
      <c r="H107">
        <v>30755</v>
      </c>
      <c r="I107">
        <v>6017</v>
      </c>
      <c r="J107" t="s">
        <v>30</v>
      </c>
      <c r="K107" t="s">
        <v>693</v>
      </c>
      <c r="L107" t="str">
        <f t="shared" si="2"/>
        <v>2026</v>
      </c>
      <c r="M107" t="str">
        <f>IF(Table1[[#This Row],[Budget Remaining]]&gt;40000,"Safe",IF(Table1[[#This Row],[Budget Remaining]]&gt;20000,"Managed",IF(Table1[[#This Row],[Budget Remaining]]&gt;5000,"Critical","Refill")))</f>
        <v>Critical</v>
      </c>
    </row>
    <row r="108" spans="1:13" x14ac:dyDescent="0.3">
      <c r="A108" t="s">
        <v>692</v>
      </c>
      <c r="B108" t="s">
        <v>41</v>
      </c>
      <c r="C108" t="s">
        <v>32</v>
      </c>
      <c r="D108" t="s">
        <v>250</v>
      </c>
      <c r="E108">
        <v>9484</v>
      </c>
      <c r="F108" t="s">
        <v>35</v>
      </c>
      <c r="G108" t="s">
        <v>2</v>
      </c>
      <c r="H108">
        <v>13157</v>
      </c>
      <c r="I108">
        <v>3673</v>
      </c>
      <c r="J108" t="s">
        <v>15</v>
      </c>
      <c r="K108" t="s">
        <v>691</v>
      </c>
      <c r="L108" t="str">
        <f t="shared" si="2"/>
        <v>2026</v>
      </c>
      <c r="M108" t="str">
        <f>IF(Table1[[#This Row],[Budget Remaining]]&gt;40000,"Safe",IF(Table1[[#This Row],[Budget Remaining]]&gt;20000,"Managed",IF(Table1[[#This Row],[Budget Remaining]]&gt;5000,"Critical","Refill")))</f>
        <v>Refill</v>
      </c>
    </row>
    <row r="109" spans="1:13" x14ac:dyDescent="0.3">
      <c r="A109" t="s">
        <v>690</v>
      </c>
      <c r="B109" t="s">
        <v>41</v>
      </c>
      <c r="C109" t="s">
        <v>37</v>
      </c>
      <c r="D109" t="s">
        <v>182</v>
      </c>
      <c r="E109">
        <v>24385</v>
      </c>
      <c r="F109" t="s">
        <v>3</v>
      </c>
      <c r="G109" t="s">
        <v>2</v>
      </c>
      <c r="H109">
        <v>36317</v>
      </c>
      <c r="I109">
        <v>11932</v>
      </c>
      <c r="J109" t="s">
        <v>30</v>
      </c>
      <c r="K109" t="s">
        <v>689</v>
      </c>
      <c r="L109" t="str">
        <f t="shared" si="2"/>
        <v>2026</v>
      </c>
      <c r="M109" t="str">
        <f>IF(Table1[[#This Row],[Budget Remaining]]&gt;40000,"Safe",IF(Table1[[#This Row],[Budget Remaining]]&gt;20000,"Managed",IF(Table1[[#This Row],[Budget Remaining]]&gt;5000,"Critical","Refill")))</f>
        <v>Critical</v>
      </c>
    </row>
    <row r="110" spans="1:13" x14ac:dyDescent="0.3">
      <c r="A110" t="s">
        <v>688</v>
      </c>
      <c r="B110" t="s">
        <v>41</v>
      </c>
      <c r="C110" t="s">
        <v>37</v>
      </c>
      <c r="D110" t="s">
        <v>182</v>
      </c>
      <c r="E110">
        <v>37029</v>
      </c>
      <c r="F110" t="s">
        <v>35</v>
      </c>
      <c r="G110" t="s">
        <v>2</v>
      </c>
      <c r="H110">
        <v>47723</v>
      </c>
      <c r="I110">
        <v>10694</v>
      </c>
      <c r="J110" t="s">
        <v>100</v>
      </c>
      <c r="K110" t="s">
        <v>687</v>
      </c>
      <c r="L110" t="str">
        <f t="shared" si="2"/>
        <v>2026</v>
      </c>
      <c r="M110" t="str">
        <f>IF(Table1[[#This Row],[Budget Remaining]]&gt;40000,"Safe",IF(Table1[[#This Row],[Budget Remaining]]&gt;20000,"Managed",IF(Table1[[#This Row],[Budget Remaining]]&gt;5000,"Critical","Refill")))</f>
        <v>Critical</v>
      </c>
    </row>
    <row r="111" spans="1:13" x14ac:dyDescent="0.3">
      <c r="A111" t="s">
        <v>686</v>
      </c>
      <c r="B111" t="s">
        <v>41</v>
      </c>
      <c r="C111" t="s">
        <v>21</v>
      </c>
      <c r="D111" t="s">
        <v>255</v>
      </c>
      <c r="E111">
        <v>3594</v>
      </c>
      <c r="F111" t="s">
        <v>35</v>
      </c>
      <c r="G111" t="s">
        <v>24</v>
      </c>
      <c r="H111">
        <v>4742</v>
      </c>
      <c r="I111">
        <v>1148</v>
      </c>
      <c r="J111" t="s">
        <v>9</v>
      </c>
      <c r="K111" t="s">
        <v>685</v>
      </c>
      <c r="L111" t="str">
        <f t="shared" si="2"/>
        <v>2026</v>
      </c>
      <c r="M111" t="str">
        <f>IF(Table1[[#This Row],[Budget Remaining]]&gt;40000,"Safe",IF(Table1[[#This Row],[Budget Remaining]]&gt;20000,"Managed",IF(Table1[[#This Row],[Budget Remaining]]&gt;5000,"Critical","Refill")))</f>
        <v>Refill</v>
      </c>
    </row>
    <row r="112" spans="1:13" x14ac:dyDescent="0.3">
      <c r="A112" t="s">
        <v>684</v>
      </c>
      <c r="B112" t="s">
        <v>41</v>
      </c>
      <c r="C112" t="s">
        <v>32</v>
      </c>
      <c r="D112" t="s">
        <v>250</v>
      </c>
      <c r="E112">
        <v>6426</v>
      </c>
      <c r="F112" t="s">
        <v>10</v>
      </c>
      <c r="G112" t="s">
        <v>2</v>
      </c>
      <c r="H112">
        <v>7682</v>
      </c>
      <c r="I112">
        <v>1256</v>
      </c>
      <c r="J112" t="s">
        <v>100</v>
      </c>
      <c r="K112" t="s">
        <v>683</v>
      </c>
      <c r="L112" t="str">
        <f t="shared" si="2"/>
        <v>2026</v>
      </c>
      <c r="M112" t="str">
        <f>IF(Table1[[#This Row],[Budget Remaining]]&gt;40000,"Safe",IF(Table1[[#This Row],[Budget Remaining]]&gt;20000,"Managed",IF(Table1[[#This Row],[Budget Remaining]]&gt;5000,"Critical","Refill")))</f>
        <v>Refill</v>
      </c>
    </row>
    <row r="113" spans="1:13" x14ac:dyDescent="0.3">
      <c r="A113" t="s">
        <v>682</v>
      </c>
      <c r="B113" t="s">
        <v>41</v>
      </c>
      <c r="C113" t="s">
        <v>32</v>
      </c>
      <c r="D113" t="s">
        <v>250</v>
      </c>
      <c r="E113">
        <v>14667</v>
      </c>
      <c r="F113" t="s">
        <v>35</v>
      </c>
      <c r="G113" t="s">
        <v>24</v>
      </c>
      <c r="H113">
        <v>19158</v>
      </c>
      <c r="I113">
        <v>4491</v>
      </c>
      <c r="J113" t="s">
        <v>30</v>
      </c>
      <c r="K113" t="s">
        <v>681</v>
      </c>
      <c r="L113" t="str">
        <f t="shared" si="2"/>
        <v>2026</v>
      </c>
      <c r="M113" t="str">
        <f>IF(Table1[[#This Row],[Budget Remaining]]&gt;40000,"Safe",IF(Table1[[#This Row],[Budget Remaining]]&gt;20000,"Managed",IF(Table1[[#This Row],[Budget Remaining]]&gt;5000,"Critical","Refill")))</f>
        <v>Refill</v>
      </c>
    </row>
    <row r="114" spans="1:13" x14ac:dyDescent="0.3">
      <c r="A114" t="s">
        <v>680</v>
      </c>
      <c r="B114" t="s">
        <v>41</v>
      </c>
      <c r="C114" t="s">
        <v>5</v>
      </c>
      <c r="D114" t="s">
        <v>175</v>
      </c>
      <c r="E114">
        <v>2546</v>
      </c>
      <c r="F114" t="s">
        <v>3</v>
      </c>
      <c r="G114" t="s">
        <v>2</v>
      </c>
      <c r="H114">
        <v>3181</v>
      </c>
      <c r="I114">
        <v>635</v>
      </c>
      <c r="J114" t="s">
        <v>9</v>
      </c>
      <c r="K114" t="s">
        <v>679</v>
      </c>
      <c r="L114" t="str">
        <f t="shared" si="2"/>
        <v>2026</v>
      </c>
      <c r="M114" t="str">
        <f>IF(Table1[[#This Row],[Budget Remaining]]&gt;40000,"Safe",IF(Table1[[#This Row],[Budget Remaining]]&gt;20000,"Managed",IF(Table1[[#This Row],[Budget Remaining]]&gt;5000,"Critical","Refill")))</f>
        <v>Refill</v>
      </c>
    </row>
    <row r="115" spans="1:13" x14ac:dyDescent="0.3">
      <c r="A115" t="s">
        <v>678</v>
      </c>
      <c r="B115" t="s">
        <v>41</v>
      </c>
      <c r="C115" t="s">
        <v>69</v>
      </c>
      <c r="D115" t="s">
        <v>94</v>
      </c>
      <c r="E115">
        <v>23440</v>
      </c>
      <c r="F115" t="s">
        <v>10</v>
      </c>
      <c r="G115" t="s">
        <v>2</v>
      </c>
      <c r="H115">
        <v>29981</v>
      </c>
      <c r="I115">
        <v>6541</v>
      </c>
      <c r="J115" t="s">
        <v>15</v>
      </c>
      <c r="K115" t="s">
        <v>677</v>
      </c>
      <c r="L115" t="str">
        <f t="shared" si="2"/>
        <v>2026</v>
      </c>
      <c r="M115" t="str">
        <f>IF(Table1[[#This Row],[Budget Remaining]]&gt;40000,"Safe",IF(Table1[[#This Row],[Budget Remaining]]&gt;20000,"Managed",IF(Table1[[#This Row],[Budget Remaining]]&gt;5000,"Critical","Refill")))</f>
        <v>Critical</v>
      </c>
    </row>
    <row r="116" spans="1:13" x14ac:dyDescent="0.3">
      <c r="A116" t="s">
        <v>676</v>
      </c>
      <c r="B116" t="s">
        <v>80</v>
      </c>
      <c r="C116" t="s">
        <v>37</v>
      </c>
      <c r="D116" t="s">
        <v>459</v>
      </c>
      <c r="E116">
        <v>64488</v>
      </c>
      <c r="F116" t="s">
        <v>19</v>
      </c>
      <c r="G116" t="s">
        <v>2</v>
      </c>
      <c r="H116">
        <v>65808</v>
      </c>
      <c r="I116">
        <v>1320</v>
      </c>
      <c r="J116" t="s">
        <v>44</v>
      </c>
      <c r="K116" t="s">
        <v>675</v>
      </c>
      <c r="L116" t="str">
        <f t="shared" si="2"/>
        <v>2026</v>
      </c>
      <c r="M116" t="str">
        <f>IF(Table1[[#This Row],[Budget Remaining]]&gt;40000,"Safe",IF(Table1[[#This Row],[Budget Remaining]]&gt;20000,"Managed",IF(Table1[[#This Row],[Budget Remaining]]&gt;5000,"Critical","Refill")))</f>
        <v>Refill</v>
      </c>
    </row>
    <row r="117" spans="1:13" x14ac:dyDescent="0.3">
      <c r="A117" t="s">
        <v>674</v>
      </c>
      <c r="B117" t="s">
        <v>80</v>
      </c>
      <c r="C117" t="s">
        <v>37</v>
      </c>
      <c r="D117" t="s">
        <v>459</v>
      </c>
      <c r="E117">
        <v>61403</v>
      </c>
      <c r="F117" t="s">
        <v>19</v>
      </c>
      <c r="G117" t="s">
        <v>2</v>
      </c>
      <c r="H117">
        <v>72218</v>
      </c>
      <c r="I117">
        <v>10815</v>
      </c>
      <c r="J117" t="s">
        <v>15</v>
      </c>
      <c r="K117" t="s">
        <v>673</v>
      </c>
      <c r="L117" t="str">
        <f t="shared" si="2"/>
        <v>2026</v>
      </c>
      <c r="M117" t="str">
        <f>IF(Table1[[#This Row],[Budget Remaining]]&gt;40000,"Safe",IF(Table1[[#This Row],[Budget Remaining]]&gt;20000,"Managed",IF(Table1[[#This Row],[Budget Remaining]]&gt;5000,"Critical","Refill")))</f>
        <v>Critical</v>
      </c>
    </row>
    <row r="118" spans="1:13" x14ac:dyDescent="0.3">
      <c r="A118" t="s">
        <v>672</v>
      </c>
      <c r="B118" t="s">
        <v>80</v>
      </c>
      <c r="C118" t="s">
        <v>32</v>
      </c>
      <c r="D118" t="s">
        <v>164</v>
      </c>
      <c r="E118">
        <v>5641</v>
      </c>
      <c r="F118" t="s">
        <v>3</v>
      </c>
      <c r="G118" t="s">
        <v>2</v>
      </c>
      <c r="H118">
        <v>7856</v>
      </c>
      <c r="I118">
        <v>2215</v>
      </c>
      <c r="J118" t="s">
        <v>15</v>
      </c>
      <c r="K118" t="s">
        <v>671</v>
      </c>
      <c r="L118" t="str">
        <f t="shared" si="2"/>
        <v>2026</v>
      </c>
      <c r="M118" t="str">
        <f>IF(Table1[[#This Row],[Budget Remaining]]&gt;40000,"Safe",IF(Table1[[#This Row],[Budget Remaining]]&gt;20000,"Managed",IF(Table1[[#This Row],[Budget Remaining]]&gt;5000,"Critical","Refill")))</f>
        <v>Refill</v>
      </c>
    </row>
    <row r="119" spans="1:13" x14ac:dyDescent="0.3">
      <c r="A119" t="s">
        <v>670</v>
      </c>
      <c r="B119" t="s">
        <v>80</v>
      </c>
      <c r="C119" t="s">
        <v>21</v>
      </c>
      <c r="D119" t="s">
        <v>79</v>
      </c>
      <c r="E119">
        <v>4039</v>
      </c>
      <c r="F119" t="s">
        <v>10</v>
      </c>
      <c r="G119" t="s">
        <v>2</v>
      </c>
      <c r="H119">
        <v>5221</v>
      </c>
      <c r="I119">
        <v>1182</v>
      </c>
      <c r="J119" t="s">
        <v>1</v>
      </c>
      <c r="K119" t="s">
        <v>669</v>
      </c>
      <c r="L119" t="str">
        <f t="shared" si="2"/>
        <v>2026</v>
      </c>
      <c r="M119" t="str">
        <f>IF(Table1[[#This Row],[Budget Remaining]]&gt;40000,"Safe",IF(Table1[[#This Row],[Budget Remaining]]&gt;20000,"Managed",IF(Table1[[#This Row],[Budget Remaining]]&gt;5000,"Critical","Refill")))</f>
        <v>Refill</v>
      </c>
    </row>
    <row r="120" spans="1:13" x14ac:dyDescent="0.3">
      <c r="A120" t="s">
        <v>668</v>
      </c>
      <c r="B120" t="s">
        <v>80</v>
      </c>
      <c r="C120" t="s">
        <v>32</v>
      </c>
      <c r="D120" t="s">
        <v>164</v>
      </c>
      <c r="E120">
        <v>5075</v>
      </c>
      <c r="F120" t="s">
        <v>35</v>
      </c>
      <c r="G120" t="s">
        <v>2</v>
      </c>
      <c r="H120">
        <v>7135</v>
      </c>
      <c r="I120">
        <v>2060</v>
      </c>
      <c r="J120" t="s">
        <v>83</v>
      </c>
      <c r="K120" t="s">
        <v>667</v>
      </c>
      <c r="L120" t="str">
        <f t="shared" si="2"/>
        <v>2026</v>
      </c>
      <c r="M120" t="str">
        <f>IF(Table1[[#This Row],[Budget Remaining]]&gt;40000,"Safe",IF(Table1[[#This Row],[Budget Remaining]]&gt;20000,"Managed",IF(Table1[[#This Row],[Budget Remaining]]&gt;5000,"Critical","Refill")))</f>
        <v>Refill</v>
      </c>
    </row>
    <row r="121" spans="1:13" x14ac:dyDescent="0.3">
      <c r="A121" t="s">
        <v>666</v>
      </c>
      <c r="B121" t="s">
        <v>55</v>
      </c>
      <c r="C121" t="s">
        <v>69</v>
      </c>
      <c r="D121" t="s">
        <v>68</v>
      </c>
      <c r="E121">
        <v>22563</v>
      </c>
      <c r="F121" t="s">
        <v>35</v>
      </c>
      <c r="G121" t="s">
        <v>2</v>
      </c>
      <c r="H121">
        <v>26069</v>
      </c>
      <c r="I121">
        <v>3506</v>
      </c>
      <c r="J121" t="s">
        <v>51</v>
      </c>
      <c r="K121" t="s">
        <v>665</v>
      </c>
      <c r="L121" t="str">
        <f t="shared" si="2"/>
        <v>2026</v>
      </c>
      <c r="M121" t="str">
        <f>IF(Table1[[#This Row],[Budget Remaining]]&gt;40000,"Safe",IF(Table1[[#This Row],[Budget Remaining]]&gt;20000,"Managed",IF(Table1[[#This Row],[Budget Remaining]]&gt;5000,"Critical","Refill")))</f>
        <v>Refill</v>
      </c>
    </row>
    <row r="122" spans="1:13" x14ac:dyDescent="0.3">
      <c r="A122" t="s">
        <v>664</v>
      </c>
      <c r="B122" t="s">
        <v>55</v>
      </c>
      <c r="C122" t="s">
        <v>21</v>
      </c>
      <c r="D122" t="s">
        <v>522</v>
      </c>
      <c r="E122">
        <v>2548</v>
      </c>
      <c r="F122" t="s">
        <v>3</v>
      </c>
      <c r="G122" t="s">
        <v>2</v>
      </c>
      <c r="H122">
        <v>2721</v>
      </c>
      <c r="I122">
        <v>173</v>
      </c>
      <c r="J122" t="s">
        <v>15</v>
      </c>
      <c r="K122" t="s">
        <v>663</v>
      </c>
      <c r="L122" t="str">
        <f t="shared" si="2"/>
        <v>2026</v>
      </c>
      <c r="M122" t="str">
        <f>IF(Table1[[#This Row],[Budget Remaining]]&gt;40000,"Safe",IF(Table1[[#This Row],[Budget Remaining]]&gt;20000,"Managed",IF(Table1[[#This Row],[Budget Remaining]]&gt;5000,"Critical","Refill")))</f>
        <v>Refill</v>
      </c>
    </row>
    <row r="123" spans="1:13" x14ac:dyDescent="0.3">
      <c r="A123" t="s">
        <v>662</v>
      </c>
      <c r="B123" t="s">
        <v>55</v>
      </c>
      <c r="C123" t="s">
        <v>69</v>
      </c>
      <c r="D123" t="s">
        <v>68</v>
      </c>
      <c r="E123">
        <v>21568</v>
      </c>
      <c r="F123" t="s">
        <v>3</v>
      </c>
      <c r="G123" t="s">
        <v>2</v>
      </c>
      <c r="H123">
        <v>31566</v>
      </c>
      <c r="I123">
        <v>9998</v>
      </c>
      <c r="J123" t="s">
        <v>83</v>
      </c>
      <c r="K123" t="s">
        <v>661</v>
      </c>
      <c r="L123" t="str">
        <f t="shared" si="2"/>
        <v>2026</v>
      </c>
      <c r="M123" t="str">
        <f>IF(Table1[[#This Row],[Budget Remaining]]&gt;40000,"Safe",IF(Table1[[#This Row],[Budget Remaining]]&gt;20000,"Managed",IF(Table1[[#This Row],[Budget Remaining]]&gt;5000,"Critical","Refill")))</f>
        <v>Critical</v>
      </c>
    </row>
    <row r="124" spans="1:13" x14ac:dyDescent="0.3">
      <c r="A124" t="s">
        <v>660</v>
      </c>
      <c r="B124" t="s">
        <v>55</v>
      </c>
      <c r="C124" t="s">
        <v>41</v>
      </c>
      <c r="D124" t="s">
        <v>58</v>
      </c>
      <c r="E124">
        <v>148037</v>
      </c>
      <c r="F124" t="s">
        <v>10</v>
      </c>
      <c r="G124" t="s">
        <v>2</v>
      </c>
      <c r="H124">
        <v>180746</v>
      </c>
      <c r="I124">
        <v>32709</v>
      </c>
      <c r="J124" t="s">
        <v>30</v>
      </c>
      <c r="K124" t="s">
        <v>659</v>
      </c>
      <c r="L124" t="str">
        <f t="shared" si="2"/>
        <v>2026</v>
      </c>
      <c r="M124" t="str">
        <f>IF(Table1[[#This Row],[Budget Remaining]]&gt;40000,"Safe",IF(Table1[[#This Row],[Budget Remaining]]&gt;20000,"Managed",IF(Table1[[#This Row],[Budget Remaining]]&gt;5000,"Critical","Refill")))</f>
        <v>Managed</v>
      </c>
    </row>
    <row r="125" spans="1:13" x14ac:dyDescent="0.3">
      <c r="A125" t="s">
        <v>658</v>
      </c>
      <c r="B125" t="s">
        <v>55</v>
      </c>
      <c r="C125" t="s">
        <v>26</v>
      </c>
      <c r="D125" t="s">
        <v>61</v>
      </c>
      <c r="E125">
        <v>120233</v>
      </c>
      <c r="F125" t="s">
        <v>19</v>
      </c>
      <c r="G125" t="s">
        <v>24</v>
      </c>
      <c r="H125">
        <v>178032</v>
      </c>
      <c r="I125">
        <v>57799</v>
      </c>
      <c r="J125" t="s">
        <v>1</v>
      </c>
      <c r="K125" t="s">
        <v>657</v>
      </c>
      <c r="L125" t="str">
        <f t="shared" si="2"/>
        <v>2026</v>
      </c>
      <c r="M125" t="str">
        <f>IF(Table1[[#This Row],[Budget Remaining]]&gt;40000,"Safe",IF(Table1[[#This Row],[Budget Remaining]]&gt;20000,"Managed",IF(Table1[[#This Row],[Budget Remaining]]&gt;5000,"Critical","Refill")))</f>
        <v>Safe</v>
      </c>
    </row>
    <row r="126" spans="1:13" x14ac:dyDescent="0.3">
      <c r="A126" t="s">
        <v>656</v>
      </c>
      <c r="B126" t="s">
        <v>27</v>
      </c>
      <c r="C126" t="s">
        <v>41</v>
      </c>
      <c r="D126" t="s">
        <v>40</v>
      </c>
      <c r="E126">
        <v>89269</v>
      </c>
      <c r="F126" t="s">
        <v>10</v>
      </c>
      <c r="G126" t="s">
        <v>2</v>
      </c>
      <c r="H126">
        <v>124380</v>
      </c>
      <c r="I126">
        <v>35111</v>
      </c>
      <c r="J126" t="s">
        <v>51</v>
      </c>
      <c r="K126" t="s">
        <v>655</v>
      </c>
      <c r="L126" t="str">
        <f t="shared" si="2"/>
        <v>2026</v>
      </c>
      <c r="M126" t="str">
        <f>IF(Table1[[#This Row],[Budget Remaining]]&gt;40000,"Safe",IF(Table1[[#This Row],[Budget Remaining]]&gt;20000,"Managed",IF(Table1[[#This Row],[Budget Remaining]]&gt;5000,"Critical","Refill")))</f>
        <v>Managed</v>
      </c>
    </row>
    <row r="127" spans="1:13" x14ac:dyDescent="0.3">
      <c r="A127" t="s">
        <v>654</v>
      </c>
      <c r="B127" t="s">
        <v>27</v>
      </c>
      <c r="C127" t="s">
        <v>69</v>
      </c>
      <c r="D127" t="s">
        <v>368</v>
      </c>
      <c r="E127">
        <v>4754</v>
      </c>
      <c r="F127" t="s">
        <v>3</v>
      </c>
      <c r="G127" t="s">
        <v>2</v>
      </c>
      <c r="H127">
        <v>6549</v>
      </c>
      <c r="I127">
        <v>1795</v>
      </c>
      <c r="J127" t="s">
        <v>1</v>
      </c>
      <c r="K127" t="s">
        <v>653</v>
      </c>
      <c r="L127" t="str">
        <f t="shared" si="2"/>
        <v>2026</v>
      </c>
      <c r="M127" t="str">
        <f>IF(Table1[[#This Row],[Budget Remaining]]&gt;40000,"Safe",IF(Table1[[#This Row],[Budget Remaining]]&gt;20000,"Managed",IF(Table1[[#This Row],[Budget Remaining]]&gt;5000,"Critical","Refill")))</f>
        <v>Refill</v>
      </c>
    </row>
    <row r="128" spans="1:13" x14ac:dyDescent="0.3">
      <c r="A128" t="s">
        <v>652</v>
      </c>
      <c r="B128" t="s">
        <v>27</v>
      </c>
      <c r="C128" t="s">
        <v>26</v>
      </c>
      <c r="D128" t="s">
        <v>25</v>
      </c>
      <c r="E128">
        <v>24246</v>
      </c>
      <c r="F128" t="s">
        <v>19</v>
      </c>
      <c r="G128" t="s">
        <v>2</v>
      </c>
      <c r="H128">
        <v>25272</v>
      </c>
      <c r="I128">
        <v>1026</v>
      </c>
      <c r="J128" t="s">
        <v>51</v>
      </c>
      <c r="K128" t="s">
        <v>651</v>
      </c>
      <c r="L128" t="str">
        <f t="shared" si="2"/>
        <v>2026</v>
      </c>
      <c r="M128" t="str">
        <f>IF(Table1[[#This Row],[Budget Remaining]]&gt;40000,"Safe",IF(Table1[[#This Row],[Budget Remaining]]&gt;20000,"Managed",IF(Table1[[#This Row],[Budget Remaining]]&gt;5000,"Critical","Refill")))</f>
        <v>Refill</v>
      </c>
    </row>
    <row r="129" spans="1:13" x14ac:dyDescent="0.3">
      <c r="A129" t="s">
        <v>650</v>
      </c>
      <c r="B129" s="1" t="s">
        <v>6</v>
      </c>
      <c r="C129" t="s">
        <v>26</v>
      </c>
      <c r="D129" t="s">
        <v>127</v>
      </c>
      <c r="E129">
        <v>191034</v>
      </c>
      <c r="F129" t="s">
        <v>19</v>
      </c>
      <c r="G129" t="s">
        <v>24</v>
      </c>
      <c r="H129">
        <v>222680</v>
      </c>
      <c r="I129">
        <v>31646</v>
      </c>
      <c r="J129" t="s">
        <v>18</v>
      </c>
      <c r="K129" t="s">
        <v>649</v>
      </c>
      <c r="L129" t="str">
        <f t="shared" si="2"/>
        <v>2026</v>
      </c>
      <c r="M129" t="str">
        <f>IF(Table1[[#This Row],[Budget Remaining]]&gt;40000,"Safe",IF(Table1[[#This Row],[Budget Remaining]]&gt;20000,"Managed",IF(Table1[[#This Row],[Budget Remaining]]&gt;5000,"Critical","Refill")))</f>
        <v>Managed</v>
      </c>
    </row>
    <row r="130" spans="1:13" x14ac:dyDescent="0.3">
      <c r="A130" t="s">
        <v>648</v>
      </c>
      <c r="B130" s="1" t="s">
        <v>6</v>
      </c>
      <c r="C130" t="s">
        <v>21</v>
      </c>
      <c r="D130" t="s">
        <v>20</v>
      </c>
      <c r="E130">
        <v>4729</v>
      </c>
      <c r="F130" t="s">
        <v>35</v>
      </c>
      <c r="G130" t="s">
        <v>2</v>
      </c>
      <c r="H130">
        <v>5070</v>
      </c>
      <c r="I130">
        <v>341</v>
      </c>
      <c r="J130" t="s">
        <v>100</v>
      </c>
      <c r="K130" t="s">
        <v>647</v>
      </c>
      <c r="L130" t="str">
        <f t="shared" ref="L130:L180" si="3">SUBSTITUTE(2026,1,1)</f>
        <v>2026</v>
      </c>
      <c r="M130" t="str">
        <f>IF(Table1[[#This Row],[Budget Remaining]]&gt;40000,"Safe",IF(Table1[[#This Row],[Budget Remaining]]&gt;20000,"Managed",IF(Table1[[#This Row],[Budget Remaining]]&gt;5000,"Critical","Refill")))</f>
        <v>Refill</v>
      </c>
    </row>
    <row r="131" spans="1:13" x14ac:dyDescent="0.3">
      <c r="A131" t="s">
        <v>646</v>
      </c>
      <c r="B131" s="1" t="s">
        <v>6</v>
      </c>
      <c r="C131" t="s">
        <v>41</v>
      </c>
      <c r="D131" t="s">
        <v>132</v>
      </c>
      <c r="E131">
        <v>88877</v>
      </c>
      <c r="F131" t="s">
        <v>19</v>
      </c>
      <c r="G131" t="s">
        <v>2</v>
      </c>
      <c r="H131">
        <v>116795</v>
      </c>
      <c r="I131">
        <v>27918</v>
      </c>
      <c r="J131" t="s">
        <v>51</v>
      </c>
      <c r="K131" t="s">
        <v>645</v>
      </c>
      <c r="L131" t="str">
        <f t="shared" si="3"/>
        <v>2026</v>
      </c>
      <c r="M131" t="str">
        <f>IF(Table1[[#This Row],[Budget Remaining]]&gt;40000,"Safe",IF(Table1[[#This Row],[Budget Remaining]]&gt;20000,"Managed",IF(Table1[[#This Row],[Budget Remaining]]&gt;5000,"Critical","Refill")))</f>
        <v>Managed</v>
      </c>
    </row>
    <row r="132" spans="1:13" x14ac:dyDescent="0.3">
      <c r="A132" t="s">
        <v>644</v>
      </c>
      <c r="B132" s="1" t="s">
        <v>6</v>
      </c>
      <c r="C132" t="s">
        <v>5</v>
      </c>
      <c r="D132" t="s">
        <v>4</v>
      </c>
      <c r="E132">
        <v>6400</v>
      </c>
      <c r="F132" t="s">
        <v>19</v>
      </c>
      <c r="G132" t="s">
        <v>24</v>
      </c>
      <c r="H132">
        <v>6400</v>
      </c>
      <c r="I132">
        <v>0</v>
      </c>
      <c r="J132" t="s">
        <v>67</v>
      </c>
      <c r="K132" t="s">
        <v>643</v>
      </c>
      <c r="L132" t="str">
        <f t="shared" si="3"/>
        <v>2026</v>
      </c>
      <c r="M132" t="str">
        <f>IF(Table1[[#This Row],[Budget Remaining]]&gt;40000,"Safe",IF(Table1[[#This Row],[Budget Remaining]]&gt;20000,"Managed",IF(Table1[[#This Row],[Budget Remaining]]&gt;5000,"Critical","Refill")))</f>
        <v>Refill</v>
      </c>
    </row>
    <row r="133" spans="1:13" x14ac:dyDescent="0.3">
      <c r="A133" t="s">
        <v>642</v>
      </c>
      <c r="B133" s="1" t="s">
        <v>6</v>
      </c>
      <c r="C133" t="s">
        <v>21</v>
      </c>
      <c r="D133" t="s">
        <v>20</v>
      </c>
      <c r="E133">
        <v>1348</v>
      </c>
      <c r="F133" t="s">
        <v>35</v>
      </c>
      <c r="G133" t="s">
        <v>2</v>
      </c>
      <c r="H133">
        <v>1667</v>
      </c>
      <c r="I133">
        <v>319</v>
      </c>
      <c r="J133" t="s">
        <v>1</v>
      </c>
      <c r="K133" t="s">
        <v>641</v>
      </c>
      <c r="L133" t="str">
        <f t="shared" si="3"/>
        <v>2026</v>
      </c>
      <c r="M133" t="str">
        <f>IF(Table1[[#This Row],[Budget Remaining]]&gt;40000,"Safe",IF(Table1[[#This Row],[Budget Remaining]]&gt;20000,"Managed",IF(Table1[[#This Row],[Budget Remaining]]&gt;5000,"Critical","Refill")))</f>
        <v>Refill</v>
      </c>
    </row>
    <row r="134" spans="1:13" x14ac:dyDescent="0.3">
      <c r="A134" t="s">
        <v>640</v>
      </c>
      <c r="B134" t="s">
        <v>105</v>
      </c>
      <c r="C134" s="1" t="s">
        <v>12</v>
      </c>
      <c r="D134" t="s">
        <v>197</v>
      </c>
      <c r="E134">
        <v>68402</v>
      </c>
      <c r="F134" t="s">
        <v>3</v>
      </c>
      <c r="G134" t="s">
        <v>24</v>
      </c>
      <c r="H134">
        <v>102011</v>
      </c>
      <c r="I134">
        <v>33609</v>
      </c>
      <c r="J134" t="s">
        <v>15</v>
      </c>
      <c r="K134" t="s">
        <v>639</v>
      </c>
      <c r="L134" t="str">
        <f t="shared" si="3"/>
        <v>2026</v>
      </c>
      <c r="M134" t="str">
        <f>IF(Table1[[#This Row],[Budget Remaining]]&gt;40000,"Safe",IF(Table1[[#This Row],[Budget Remaining]]&gt;20000,"Managed",IF(Table1[[#This Row],[Budget Remaining]]&gt;5000,"Critical","Refill")))</f>
        <v>Managed</v>
      </c>
    </row>
    <row r="135" spans="1:13" x14ac:dyDescent="0.3">
      <c r="A135" t="s">
        <v>638</v>
      </c>
      <c r="B135" t="s">
        <v>105</v>
      </c>
      <c r="C135" t="s">
        <v>26</v>
      </c>
      <c r="D135" t="s">
        <v>113</v>
      </c>
      <c r="E135">
        <v>182532</v>
      </c>
      <c r="F135" t="s">
        <v>3</v>
      </c>
      <c r="G135" t="s">
        <v>2</v>
      </c>
      <c r="H135">
        <v>238858</v>
      </c>
      <c r="I135">
        <v>56326</v>
      </c>
      <c r="J135" t="s">
        <v>9</v>
      </c>
      <c r="K135" t="s">
        <v>637</v>
      </c>
      <c r="L135" t="str">
        <f t="shared" si="3"/>
        <v>2026</v>
      </c>
      <c r="M135" t="str">
        <f>IF(Table1[[#This Row],[Budget Remaining]]&gt;40000,"Safe",IF(Table1[[#This Row],[Budget Remaining]]&gt;20000,"Managed",IF(Table1[[#This Row],[Budget Remaining]]&gt;5000,"Critical","Refill")))</f>
        <v>Safe</v>
      </c>
    </row>
    <row r="136" spans="1:13" x14ac:dyDescent="0.3">
      <c r="A136" t="s">
        <v>636</v>
      </c>
      <c r="B136" t="s">
        <v>105</v>
      </c>
      <c r="C136" t="s">
        <v>21</v>
      </c>
      <c r="D136" t="s">
        <v>104</v>
      </c>
      <c r="E136">
        <v>1898</v>
      </c>
      <c r="F136" t="s">
        <v>3</v>
      </c>
      <c r="G136" t="s">
        <v>2</v>
      </c>
      <c r="H136">
        <v>2383</v>
      </c>
      <c r="I136">
        <v>485</v>
      </c>
      <c r="J136" t="s">
        <v>44</v>
      </c>
      <c r="K136" t="s">
        <v>635</v>
      </c>
      <c r="L136" t="str">
        <f t="shared" si="3"/>
        <v>2026</v>
      </c>
      <c r="M136" t="str">
        <f>IF(Table1[[#This Row],[Budget Remaining]]&gt;40000,"Safe",IF(Table1[[#This Row],[Budget Remaining]]&gt;20000,"Managed",IF(Table1[[#This Row],[Budget Remaining]]&gt;5000,"Critical","Refill")))</f>
        <v>Refill</v>
      </c>
    </row>
    <row r="137" spans="1:13" x14ac:dyDescent="0.3">
      <c r="A137" t="s">
        <v>634</v>
      </c>
      <c r="B137" t="s">
        <v>105</v>
      </c>
      <c r="C137" t="s">
        <v>69</v>
      </c>
      <c r="D137" t="s">
        <v>116</v>
      </c>
      <c r="E137">
        <v>24873</v>
      </c>
      <c r="F137" t="s">
        <v>35</v>
      </c>
      <c r="G137" t="s">
        <v>2</v>
      </c>
      <c r="H137">
        <v>26117</v>
      </c>
      <c r="I137">
        <v>1244</v>
      </c>
      <c r="J137" t="s">
        <v>15</v>
      </c>
      <c r="K137" t="s">
        <v>633</v>
      </c>
      <c r="L137" t="str">
        <f t="shared" si="3"/>
        <v>2026</v>
      </c>
      <c r="M137" t="str">
        <f>IF(Table1[[#This Row],[Budget Remaining]]&gt;40000,"Safe",IF(Table1[[#This Row],[Budget Remaining]]&gt;20000,"Managed",IF(Table1[[#This Row],[Budget Remaining]]&gt;5000,"Critical","Refill")))</f>
        <v>Refill</v>
      </c>
    </row>
    <row r="138" spans="1:13" x14ac:dyDescent="0.3">
      <c r="A138" t="s">
        <v>632</v>
      </c>
      <c r="B138" t="s">
        <v>105</v>
      </c>
      <c r="C138" s="1" t="s">
        <v>12</v>
      </c>
      <c r="D138" t="s">
        <v>197</v>
      </c>
      <c r="E138">
        <v>96442</v>
      </c>
      <c r="F138" t="s">
        <v>35</v>
      </c>
      <c r="G138" t="s">
        <v>2</v>
      </c>
      <c r="H138">
        <v>135012</v>
      </c>
      <c r="I138">
        <v>38570</v>
      </c>
      <c r="J138" t="s">
        <v>9</v>
      </c>
      <c r="K138" t="s">
        <v>631</v>
      </c>
      <c r="L138" t="str">
        <f t="shared" si="3"/>
        <v>2026</v>
      </c>
      <c r="M138" t="str">
        <f>IF(Table1[[#This Row],[Budget Remaining]]&gt;40000,"Safe",IF(Table1[[#This Row],[Budget Remaining]]&gt;20000,"Managed",IF(Table1[[#This Row],[Budget Remaining]]&gt;5000,"Critical","Refill")))</f>
        <v>Managed</v>
      </c>
    </row>
    <row r="139" spans="1:13" x14ac:dyDescent="0.3">
      <c r="A139" t="s">
        <v>630</v>
      </c>
      <c r="B139" t="s">
        <v>41</v>
      </c>
      <c r="C139" t="s">
        <v>26</v>
      </c>
      <c r="D139" t="s">
        <v>97</v>
      </c>
      <c r="E139">
        <v>41490</v>
      </c>
      <c r="F139" t="s">
        <v>10</v>
      </c>
      <c r="G139" t="s">
        <v>2</v>
      </c>
      <c r="H139">
        <v>53195</v>
      </c>
      <c r="I139">
        <v>11705</v>
      </c>
      <c r="J139" t="s">
        <v>51</v>
      </c>
      <c r="K139" t="s">
        <v>629</v>
      </c>
      <c r="L139" t="str">
        <f t="shared" si="3"/>
        <v>2026</v>
      </c>
      <c r="M139" t="str">
        <f>IF(Table1[[#This Row],[Budget Remaining]]&gt;40000,"Safe",IF(Table1[[#This Row],[Budget Remaining]]&gt;20000,"Managed",IF(Table1[[#This Row],[Budget Remaining]]&gt;5000,"Critical","Refill")))</f>
        <v>Critical</v>
      </c>
    </row>
    <row r="140" spans="1:13" x14ac:dyDescent="0.3">
      <c r="A140" t="s">
        <v>628</v>
      </c>
      <c r="B140" t="s">
        <v>41</v>
      </c>
      <c r="C140" t="s">
        <v>37</v>
      </c>
      <c r="D140" t="s">
        <v>182</v>
      </c>
      <c r="E140">
        <v>51494</v>
      </c>
      <c r="F140" t="s">
        <v>35</v>
      </c>
      <c r="G140" t="s">
        <v>2</v>
      </c>
      <c r="H140">
        <v>76283</v>
      </c>
      <c r="I140">
        <v>24789</v>
      </c>
      <c r="J140" t="s">
        <v>1</v>
      </c>
      <c r="K140" t="s">
        <v>627</v>
      </c>
      <c r="L140" t="str">
        <f t="shared" si="3"/>
        <v>2026</v>
      </c>
      <c r="M140" t="str">
        <f>IF(Table1[[#This Row],[Budget Remaining]]&gt;40000,"Safe",IF(Table1[[#This Row],[Budget Remaining]]&gt;20000,"Managed",IF(Table1[[#This Row],[Budget Remaining]]&gt;5000,"Critical","Refill")))</f>
        <v>Managed</v>
      </c>
    </row>
    <row r="141" spans="1:13" x14ac:dyDescent="0.3">
      <c r="A141" t="s">
        <v>626</v>
      </c>
      <c r="B141" t="s">
        <v>41</v>
      </c>
      <c r="C141" t="s">
        <v>32</v>
      </c>
      <c r="D141" t="s">
        <v>250</v>
      </c>
      <c r="E141">
        <v>9202</v>
      </c>
      <c r="F141" t="s">
        <v>3</v>
      </c>
      <c r="G141" t="s">
        <v>2</v>
      </c>
      <c r="H141">
        <v>13140</v>
      </c>
      <c r="I141">
        <v>3938</v>
      </c>
      <c r="J141" t="s">
        <v>18</v>
      </c>
      <c r="K141" t="s">
        <v>625</v>
      </c>
      <c r="L141" t="str">
        <f t="shared" si="3"/>
        <v>2026</v>
      </c>
      <c r="M141" t="str">
        <f>IF(Table1[[#This Row],[Budget Remaining]]&gt;40000,"Safe",IF(Table1[[#This Row],[Budget Remaining]]&gt;20000,"Managed",IF(Table1[[#This Row],[Budget Remaining]]&gt;5000,"Critical","Refill")))</f>
        <v>Refill</v>
      </c>
    </row>
    <row r="142" spans="1:13" x14ac:dyDescent="0.3">
      <c r="A142" t="s">
        <v>624</v>
      </c>
      <c r="B142" t="s">
        <v>41</v>
      </c>
      <c r="C142" t="s">
        <v>5</v>
      </c>
      <c r="D142" t="s">
        <v>175</v>
      </c>
      <c r="E142">
        <v>13435</v>
      </c>
      <c r="F142" t="s">
        <v>10</v>
      </c>
      <c r="G142" t="s">
        <v>2</v>
      </c>
      <c r="H142">
        <v>17841</v>
      </c>
      <c r="I142">
        <v>4406</v>
      </c>
      <c r="J142" t="s">
        <v>9</v>
      </c>
      <c r="K142" t="s">
        <v>623</v>
      </c>
      <c r="L142" t="str">
        <f t="shared" si="3"/>
        <v>2026</v>
      </c>
      <c r="M142" t="str">
        <f>IF(Table1[[#This Row],[Budget Remaining]]&gt;40000,"Safe",IF(Table1[[#This Row],[Budget Remaining]]&gt;20000,"Managed",IF(Table1[[#This Row],[Budget Remaining]]&gt;5000,"Critical","Refill")))</f>
        <v>Refill</v>
      </c>
    </row>
    <row r="143" spans="1:13" x14ac:dyDescent="0.3">
      <c r="A143" t="s">
        <v>622</v>
      </c>
      <c r="B143" t="s">
        <v>41</v>
      </c>
      <c r="C143" t="s">
        <v>69</v>
      </c>
      <c r="D143" t="s">
        <v>94</v>
      </c>
      <c r="E143">
        <v>15908</v>
      </c>
      <c r="F143" t="s">
        <v>35</v>
      </c>
      <c r="G143" t="s">
        <v>2</v>
      </c>
      <c r="H143">
        <v>16451</v>
      </c>
      <c r="I143">
        <v>543</v>
      </c>
      <c r="J143" t="s">
        <v>44</v>
      </c>
      <c r="K143" t="s">
        <v>621</v>
      </c>
      <c r="L143" t="str">
        <f t="shared" si="3"/>
        <v>2026</v>
      </c>
      <c r="M143" t="str">
        <f>IF(Table1[[#This Row],[Budget Remaining]]&gt;40000,"Safe",IF(Table1[[#This Row],[Budget Remaining]]&gt;20000,"Managed",IF(Table1[[#This Row],[Budget Remaining]]&gt;5000,"Critical","Refill")))</f>
        <v>Refill</v>
      </c>
    </row>
    <row r="144" spans="1:13" x14ac:dyDescent="0.3">
      <c r="A144" t="s">
        <v>620</v>
      </c>
      <c r="B144" t="s">
        <v>80</v>
      </c>
      <c r="C144" t="s">
        <v>41</v>
      </c>
      <c r="D144" t="s">
        <v>230</v>
      </c>
      <c r="E144">
        <v>142901</v>
      </c>
      <c r="F144" t="s">
        <v>10</v>
      </c>
      <c r="G144" t="s">
        <v>2</v>
      </c>
      <c r="H144">
        <v>198304</v>
      </c>
      <c r="I144">
        <v>55403</v>
      </c>
      <c r="J144" t="s">
        <v>30</v>
      </c>
      <c r="K144" t="s">
        <v>619</v>
      </c>
      <c r="L144" t="str">
        <f t="shared" si="3"/>
        <v>2026</v>
      </c>
      <c r="M144" t="str">
        <f>IF(Table1[[#This Row],[Budget Remaining]]&gt;40000,"Safe",IF(Table1[[#This Row],[Budget Remaining]]&gt;20000,"Managed",IF(Table1[[#This Row],[Budget Remaining]]&gt;5000,"Critical","Refill")))</f>
        <v>Safe</v>
      </c>
    </row>
    <row r="145" spans="1:13" x14ac:dyDescent="0.3">
      <c r="A145" t="s">
        <v>618</v>
      </c>
      <c r="B145" t="s">
        <v>80</v>
      </c>
      <c r="C145" t="s">
        <v>32</v>
      </c>
      <c r="D145" t="s">
        <v>164</v>
      </c>
      <c r="E145">
        <v>10576</v>
      </c>
      <c r="F145" t="s">
        <v>19</v>
      </c>
      <c r="G145" t="s">
        <v>2</v>
      </c>
      <c r="H145">
        <v>13841</v>
      </c>
      <c r="I145">
        <v>3265</v>
      </c>
      <c r="J145" t="s">
        <v>1</v>
      </c>
      <c r="K145" t="s">
        <v>617</v>
      </c>
      <c r="L145" t="str">
        <f t="shared" si="3"/>
        <v>2026</v>
      </c>
      <c r="M145" t="str">
        <f>IF(Table1[[#This Row],[Budget Remaining]]&gt;40000,"Safe",IF(Table1[[#This Row],[Budget Remaining]]&gt;20000,"Managed",IF(Table1[[#This Row],[Budget Remaining]]&gt;5000,"Critical","Refill")))</f>
        <v>Refill</v>
      </c>
    </row>
    <row r="146" spans="1:13" x14ac:dyDescent="0.3">
      <c r="A146" t="s">
        <v>616</v>
      </c>
      <c r="B146" t="s">
        <v>80</v>
      </c>
      <c r="C146" t="s">
        <v>21</v>
      </c>
      <c r="D146" t="s">
        <v>79</v>
      </c>
      <c r="E146">
        <v>1290</v>
      </c>
      <c r="F146" t="s">
        <v>35</v>
      </c>
      <c r="G146" t="s">
        <v>2</v>
      </c>
      <c r="H146">
        <v>1719</v>
      </c>
      <c r="I146">
        <v>429</v>
      </c>
      <c r="J146" t="s">
        <v>100</v>
      </c>
      <c r="K146" t="s">
        <v>615</v>
      </c>
      <c r="L146" t="str">
        <f t="shared" si="3"/>
        <v>2026</v>
      </c>
      <c r="M146" t="str">
        <f>IF(Table1[[#This Row],[Budget Remaining]]&gt;40000,"Safe",IF(Table1[[#This Row],[Budget Remaining]]&gt;20000,"Managed",IF(Table1[[#This Row],[Budget Remaining]]&gt;5000,"Critical","Refill")))</f>
        <v>Refill</v>
      </c>
    </row>
    <row r="147" spans="1:13" x14ac:dyDescent="0.3">
      <c r="A147" t="s">
        <v>614</v>
      </c>
      <c r="B147" t="s">
        <v>80</v>
      </c>
      <c r="C147" t="s">
        <v>5</v>
      </c>
      <c r="D147" t="s">
        <v>235</v>
      </c>
      <c r="E147">
        <v>13403</v>
      </c>
      <c r="F147" t="s">
        <v>35</v>
      </c>
      <c r="G147" t="s">
        <v>2</v>
      </c>
      <c r="H147">
        <v>18283</v>
      </c>
      <c r="I147">
        <v>4880</v>
      </c>
      <c r="J147" t="s">
        <v>1</v>
      </c>
      <c r="K147" t="s">
        <v>613</v>
      </c>
      <c r="L147" t="str">
        <f t="shared" si="3"/>
        <v>2026</v>
      </c>
      <c r="M147" t="str">
        <f>IF(Table1[[#This Row],[Budget Remaining]]&gt;40000,"Safe",IF(Table1[[#This Row],[Budget Remaining]]&gt;20000,"Managed",IF(Table1[[#This Row],[Budget Remaining]]&gt;5000,"Critical","Refill")))</f>
        <v>Refill</v>
      </c>
    </row>
    <row r="148" spans="1:13" x14ac:dyDescent="0.3">
      <c r="A148" t="s">
        <v>612</v>
      </c>
      <c r="B148" t="s">
        <v>80</v>
      </c>
      <c r="C148" t="s">
        <v>69</v>
      </c>
      <c r="D148" t="s">
        <v>88</v>
      </c>
      <c r="E148">
        <v>6751</v>
      </c>
      <c r="F148" t="s">
        <v>19</v>
      </c>
      <c r="G148" t="s">
        <v>2</v>
      </c>
      <c r="H148">
        <v>6877</v>
      </c>
      <c r="I148">
        <v>126</v>
      </c>
      <c r="J148" t="s">
        <v>30</v>
      </c>
      <c r="K148" t="s">
        <v>611</v>
      </c>
      <c r="L148" t="str">
        <f t="shared" si="3"/>
        <v>2026</v>
      </c>
      <c r="M148" t="str">
        <f>IF(Table1[[#This Row],[Budget Remaining]]&gt;40000,"Safe",IF(Table1[[#This Row],[Budget Remaining]]&gt;20000,"Managed",IF(Table1[[#This Row],[Budget Remaining]]&gt;5000,"Critical","Refill")))</f>
        <v>Refill</v>
      </c>
    </row>
    <row r="149" spans="1:13" x14ac:dyDescent="0.3">
      <c r="A149" t="s">
        <v>610</v>
      </c>
      <c r="B149" t="s">
        <v>80</v>
      </c>
      <c r="C149" t="s">
        <v>37</v>
      </c>
      <c r="D149" t="s">
        <v>459</v>
      </c>
      <c r="E149">
        <v>27815</v>
      </c>
      <c r="F149" t="s">
        <v>35</v>
      </c>
      <c r="G149" t="s">
        <v>2</v>
      </c>
      <c r="H149">
        <v>32282</v>
      </c>
      <c r="I149">
        <v>4467</v>
      </c>
      <c r="J149" t="s">
        <v>9</v>
      </c>
      <c r="K149" t="s">
        <v>609</v>
      </c>
      <c r="L149" t="str">
        <f t="shared" si="3"/>
        <v>2026</v>
      </c>
      <c r="M149" t="str">
        <f>IF(Table1[[#This Row],[Budget Remaining]]&gt;40000,"Safe",IF(Table1[[#This Row],[Budget Remaining]]&gt;20000,"Managed",IF(Table1[[#This Row],[Budget Remaining]]&gt;5000,"Critical","Refill")))</f>
        <v>Refill</v>
      </c>
    </row>
    <row r="150" spans="1:13" x14ac:dyDescent="0.3">
      <c r="A150" t="s">
        <v>608</v>
      </c>
      <c r="B150" t="s">
        <v>80</v>
      </c>
      <c r="C150" t="s">
        <v>21</v>
      </c>
      <c r="D150" t="s">
        <v>79</v>
      </c>
      <c r="E150">
        <v>2103</v>
      </c>
      <c r="F150" t="s">
        <v>10</v>
      </c>
      <c r="G150" t="s">
        <v>2</v>
      </c>
      <c r="H150">
        <v>2368</v>
      </c>
      <c r="I150">
        <v>265</v>
      </c>
      <c r="J150" t="s">
        <v>100</v>
      </c>
      <c r="K150" t="s">
        <v>394</v>
      </c>
      <c r="L150" t="str">
        <f t="shared" si="3"/>
        <v>2026</v>
      </c>
      <c r="M150" t="str">
        <f>IF(Table1[[#This Row],[Budget Remaining]]&gt;40000,"Safe",IF(Table1[[#This Row],[Budget Remaining]]&gt;20000,"Managed",IF(Table1[[#This Row],[Budget Remaining]]&gt;5000,"Critical","Refill")))</f>
        <v>Refill</v>
      </c>
    </row>
    <row r="151" spans="1:13" x14ac:dyDescent="0.3">
      <c r="A151" t="s">
        <v>607</v>
      </c>
      <c r="B151" t="s">
        <v>80</v>
      </c>
      <c r="C151" s="1" t="s">
        <v>12</v>
      </c>
      <c r="D151" t="s">
        <v>312</v>
      </c>
      <c r="E151">
        <v>111671</v>
      </c>
      <c r="F151" t="s">
        <v>3</v>
      </c>
      <c r="G151" t="s">
        <v>2</v>
      </c>
      <c r="H151">
        <v>141182</v>
      </c>
      <c r="I151">
        <v>29511</v>
      </c>
      <c r="J151" t="s">
        <v>51</v>
      </c>
      <c r="K151" t="s">
        <v>606</v>
      </c>
      <c r="L151" t="str">
        <f t="shared" si="3"/>
        <v>2026</v>
      </c>
      <c r="M151" t="str">
        <f>IF(Table1[[#This Row],[Budget Remaining]]&gt;40000,"Safe",IF(Table1[[#This Row],[Budget Remaining]]&gt;20000,"Managed",IF(Table1[[#This Row],[Budget Remaining]]&gt;5000,"Critical","Refill")))</f>
        <v>Managed</v>
      </c>
    </row>
    <row r="152" spans="1:13" x14ac:dyDescent="0.3">
      <c r="A152" t="s">
        <v>605</v>
      </c>
      <c r="B152" t="s">
        <v>55</v>
      </c>
      <c r="C152" t="s">
        <v>5</v>
      </c>
      <c r="D152" t="s">
        <v>74</v>
      </c>
      <c r="E152">
        <v>15339</v>
      </c>
      <c r="F152" t="s">
        <v>19</v>
      </c>
      <c r="G152" t="s">
        <v>2</v>
      </c>
      <c r="H152">
        <v>15594</v>
      </c>
      <c r="I152">
        <v>255</v>
      </c>
      <c r="J152" t="s">
        <v>83</v>
      </c>
      <c r="K152" t="s">
        <v>604</v>
      </c>
      <c r="L152" t="str">
        <f t="shared" si="3"/>
        <v>2026</v>
      </c>
      <c r="M152" t="str">
        <f>IF(Table1[[#This Row],[Budget Remaining]]&gt;40000,"Safe",IF(Table1[[#This Row],[Budget Remaining]]&gt;20000,"Managed",IF(Table1[[#This Row],[Budget Remaining]]&gt;5000,"Critical","Refill")))</f>
        <v>Refill</v>
      </c>
    </row>
    <row r="153" spans="1:13" x14ac:dyDescent="0.3">
      <c r="A153" t="s">
        <v>603</v>
      </c>
      <c r="B153" t="s">
        <v>55</v>
      </c>
      <c r="C153" t="s">
        <v>5</v>
      </c>
      <c r="D153" t="s">
        <v>74</v>
      </c>
      <c r="E153">
        <v>24328</v>
      </c>
      <c r="F153" t="s">
        <v>35</v>
      </c>
      <c r="G153" t="s">
        <v>2</v>
      </c>
      <c r="H153">
        <v>26582</v>
      </c>
      <c r="I153">
        <v>2254</v>
      </c>
      <c r="J153" t="s">
        <v>100</v>
      </c>
      <c r="K153" t="s">
        <v>602</v>
      </c>
      <c r="L153" t="str">
        <f t="shared" si="3"/>
        <v>2026</v>
      </c>
      <c r="M153" t="str">
        <f>IF(Table1[[#This Row],[Budget Remaining]]&gt;40000,"Safe",IF(Table1[[#This Row],[Budget Remaining]]&gt;20000,"Managed",IF(Table1[[#This Row],[Budget Remaining]]&gt;5000,"Critical","Refill")))</f>
        <v>Refill</v>
      </c>
    </row>
    <row r="154" spans="1:13" x14ac:dyDescent="0.3">
      <c r="A154" t="s">
        <v>601</v>
      </c>
      <c r="B154" t="s">
        <v>55</v>
      </c>
      <c r="C154" t="s">
        <v>26</v>
      </c>
      <c r="D154" t="s">
        <v>61</v>
      </c>
      <c r="E154">
        <v>141294</v>
      </c>
      <c r="F154" t="s">
        <v>3</v>
      </c>
      <c r="G154" t="s">
        <v>2</v>
      </c>
      <c r="H154">
        <v>166169</v>
      </c>
      <c r="I154">
        <v>24875</v>
      </c>
      <c r="J154" t="s">
        <v>44</v>
      </c>
      <c r="K154" t="s">
        <v>600</v>
      </c>
      <c r="L154" t="str">
        <f t="shared" si="3"/>
        <v>2026</v>
      </c>
      <c r="M154" t="str">
        <f>IF(Table1[[#This Row],[Budget Remaining]]&gt;40000,"Safe",IF(Table1[[#This Row],[Budget Remaining]]&gt;20000,"Managed",IF(Table1[[#This Row],[Budget Remaining]]&gt;5000,"Critical","Refill")))</f>
        <v>Managed</v>
      </c>
    </row>
    <row r="155" spans="1:13" x14ac:dyDescent="0.3">
      <c r="A155" t="s">
        <v>599</v>
      </c>
      <c r="B155" t="s">
        <v>55</v>
      </c>
      <c r="C155" s="1" t="s">
        <v>12</v>
      </c>
      <c r="D155" t="s">
        <v>153</v>
      </c>
      <c r="E155">
        <v>119553</v>
      </c>
      <c r="F155" t="s">
        <v>3</v>
      </c>
      <c r="G155" t="s">
        <v>24</v>
      </c>
      <c r="H155">
        <v>123789</v>
      </c>
      <c r="I155">
        <v>4236</v>
      </c>
      <c r="J155" t="s">
        <v>15</v>
      </c>
      <c r="K155" t="s">
        <v>598</v>
      </c>
      <c r="L155" t="str">
        <f t="shared" si="3"/>
        <v>2026</v>
      </c>
      <c r="M155" t="str">
        <f>IF(Table1[[#This Row],[Budget Remaining]]&gt;40000,"Safe",IF(Table1[[#This Row],[Budget Remaining]]&gt;20000,"Managed",IF(Table1[[#This Row],[Budget Remaining]]&gt;5000,"Critical","Refill")))</f>
        <v>Refill</v>
      </c>
    </row>
    <row r="156" spans="1:13" x14ac:dyDescent="0.3">
      <c r="A156" t="s">
        <v>597</v>
      </c>
      <c r="B156" t="s">
        <v>55</v>
      </c>
      <c r="C156" t="s">
        <v>5</v>
      </c>
      <c r="D156" t="s">
        <v>74</v>
      </c>
      <c r="E156">
        <v>34683</v>
      </c>
      <c r="F156" t="s">
        <v>10</v>
      </c>
      <c r="G156" t="s">
        <v>2</v>
      </c>
      <c r="H156">
        <v>38681</v>
      </c>
      <c r="I156">
        <v>3998</v>
      </c>
      <c r="J156" t="s">
        <v>100</v>
      </c>
      <c r="K156" t="s">
        <v>596</v>
      </c>
      <c r="L156" t="str">
        <f t="shared" si="3"/>
        <v>2026</v>
      </c>
      <c r="M156" t="str">
        <f>IF(Table1[[#This Row],[Budget Remaining]]&gt;40000,"Safe",IF(Table1[[#This Row],[Budget Remaining]]&gt;20000,"Managed",IF(Table1[[#This Row],[Budget Remaining]]&gt;5000,"Critical","Refill")))</f>
        <v>Refill</v>
      </c>
    </row>
    <row r="157" spans="1:13" x14ac:dyDescent="0.3">
      <c r="A157" t="s">
        <v>595</v>
      </c>
      <c r="B157" t="s">
        <v>55</v>
      </c>
      <c r="C157" t="s">
        <v>69</v>
      </c>
      <c r="D157" t="s">
        <v>68</v>
      </c>
      <c r="E157">
        <v>15793</v>
      </c>
      <c r="F157" t="s">
        <v>3</v>
      </c>
      <c r="G157" t="s">
        <v>2</v>
      </c>
      <c r="H157">
        <v>21346</v>
      </c>
      <c r="I157">
        <v>5553</v>
      </c>
      <c r="J157" t="s">
        <v>67</v>
      </c>
      <c r="K157" t="s">
        <v>594</v>
      </c>
      <c r="L157" t="str">
        <f t="shared" si="3"/>
        <v>2026</v>
      </c>
      <c r="M157" t="str">
        <f>IF(Table1[[#This Row],[Budget Remaining]]&gt;40000,"Safe",IF(Table1[[#This Row],[Budget Remaining]]&gt;20000,"Managed",IF(Table1[[#This Row],[Budget Remaining]]&gt;5000,"Critical","Refill")))</f>
        <v>Critical</v>
      </c>
    </row>
    <row r="158" spans="1:13" x14ac:dyDescent="0.3">
      <c r="A158" t="s">
        <v>593</v>
      </c>
      <c r="B158" t="s">
        <v>55</v>
      </c>
      <c r="C158" t="s">
        <v>21</v>
      </c>
      <c r="D158" t="s">
        <v>522</v>
      </c>
      <c r="E158">
        <v>7489</v>
      </c>
      <c r="F158" t="s">
        <v>10</v>
      </c>
      <c r="G158" t="s">
        <v>2</v>
      </c>
      <c r="H158">
        <v>9428</v>
      </c>
      <c r="I158">
        <v>1939</v>
      </c>
      <c r="J158" t="s">
        <v>51</v>
      </c>
      <c r="K158" t="s">
        <v>592</v>
      </c>
      <c r="L158" t="str">
        <f t="shared" si="3"/>
        <v>2026</v>
      </c>
      <c r="M158" t="str">
        <f>IF(Table1[[#This Row],[Budget Remaining]]&gt;40000,"Safe",IF(Table1[[#This Row],[Budget Remaining]]&gt;20000,"Managed",IF(Table1[[#This Row],[Budget Remaining]]&gt;5000,"Critical","Refill")))</f>
        <v>Refill</v>
      </c>
    </row>
    <row r="159" spans="1:13" x14ac:dyDescent="0.3">
      <c r="A159" t="s">
        <v>591</v>
      </c>
      <c r="B159" t="s">
        <v>55</v>
      </c>
      <c r="C159" t="s">
        <v>5</v>
      </c>
      <c r="D159" t="s">
        <v>74</v>
      </c>
      <c r="E159">
        <v>40192</v>
      </c>
      <c r="F159" t="s">
        <v>19</v>
      </c>
      <c r="G159" t="s">
        <v>2</v>
      </c>
      <c r="H159">
        <v>49657</v>
      </c>
      <c r="I159">
        <v>9465</v>
      </c>
      <c r="J159" t="s">
        <v>30</v>
      </c>
      <c r="K159" t="s">
        <v>590</v>
      </c>
      <c r="L159" t="str">
        <f t="shared" si="3"/>
        <v>2026</v>
      </c>
      <c r="M159" t="str">
        <f>IF(Table1[[#This Row],[Budget Remaining]]&gt;40000,"Safe",IF(Table1[[#This Row],[Budget Remaining]]&gt;20000,"Managed",IF(Table1[[#This Row],[Budget Remaining]]&gt;5000,"Critical","Refill")))</f>
        <v>Critical</v>
      </c>
    </row>
    <row r="160" spans="1:13" x14ac:dyDescent="0.3">
      <c r="A160" t="s">
        <v>589</v>
      </c>
      <c r="B160" t="s">
        <v>27</v>
      </c>
      <c r="C160" t="s">
        <v>21</v>
      </c>
      <c r="D160" t="s">
        <v>45</v>
      </c>
      <c r="E160">
        <v>3240</v>
      </c>
      <c r="F160" t="s">
        <v>3</v>
      </c>
      <c r="G160" t="s">
        <v>2</v>
      </c>
      <c r="H160">
        <v>4679</v>
      </c>
      <c r="I160">
        <v>1439</v>
      </c>
      <c r="J160" t="s">
        <v>18</v>
      </c>
      <c r="K160" t="s">
        <v>588</v>
      </c>
      <c r="L160" t="str">
        <f t="shared" si="3"/>
        <v>2026</v>
      </c>
      <c r="M160" t="str">
        <f>IF(Table1[[#This Row],[Budget Remaining]]&gt;40000,"Safe",IF(Table1[[#This Row],[Budget Remaining]]&gt;20000,"Managed",IF(Table1[[#This Row],[Budget Remaining]]&gt;5000,"Critical","Refill")))</f>
        <v>Refill</v>
      </c>
    </row>
    <row r="161" spans="1:13" x14ac:dyDescent="0.3">
      <c r="A161" t="s">
        <v>587</v>
      </c>
      <c r="B161" t="s">
        <v>27</v>
      </c>
      <c r="C161" t="s">
        <v>37</v>
      </c>
      <c r="D161" t="s">
        <v>36</v>
      </c>
      <c r="E161">
        <v>35882</v>
      </c>
      <c r="F161" t="s">
        <v>19</v>
      </c>
      <c r="G161" t="s">
        <v>2</v>
      </c>
      <c r="H161">
        <v>44737</v>
      </c>
      <c r="I161">
        <v>8855</v>
      </c>
      <c r="J161" t="s">
        <v>67</v>
      </c>
      <c r="K161" t="s">
        <v>586</v>
      </c>
      <c r="L161" t="str">
        <f t="shared" si="3"/>
        <v>2026</v>
      </c>
      <c r="M161" t="str">
        <f>IF(Table1[[#This Row],[Budget Remaining]]&gt;40000,"Safe",IF(Table1[[#This Row],[Budget Remaining]]&gt;20000,"Managed",IF(Table1[[#This Row],[Budget Remaining]]&gt;5000,"Critical","Refill")))</f>
        <v>Critical</v>
      </c>
    </row>
    <row r="162" spans="1:13" x14ac:dyDescent="0.3">
      <c r="A162" t="s">
        <v>585</v>
      </c>
      <c r="B162" t="s">
        <v>27</v>
      </c>
      <c r="C162" t="s">
        <v>5</v>
      </c>
      <c r="D162" t="s">
        <v>48</v>
      </c>
      <c r="E162">
        <v>38138</v>
      </c>
      <c r="F162" t="s">
        <v>10</v>
      </c>
      <c r="G162" t="s">
        <v>2</v>
      </c>
      <c r="H162">
        <v>47268</v>
      </c>
      <c r="I162">
        <v>9130</v>
      </c>
      <c r="J162" t="s">
        <v>67</v>
      </c>
      <c r="K162" t="s">
        <v>584</v>
      </c>
      <c r="L162" t="str">
        <f t="shared" si="3"/>
        <v>2026</v>
      </c>
      <c r="M162" t="str">
        <f>IF(Table1[[#This Row],[Budget Remaining]]&gt;40000,"Safe",IF(Table1[[#This Row],[Budget Remaining]]&gt;20000,"Managed",IF(Table1[[#This Row],[Budget Remaining]]&gt;5000,"Critical","Refill")))</f>
        <v>Critical</v>
      </c>
    </row>
    <row r="163" spans="1:13" x14ac:dyDescent="0.3">
      <c r="A163" t="s">
        <v>583</v>
      </c>
      <c r="B163" t="s">
        <v>27</v>
      </c>
      <c r="C163" t="s">
        <v>26</v>
      </c>
      <c r="D163" t="s">
        <v>25</v>
      </c>
      <c r="E163">
        <v>143065</v>
      </c>
      <c r="F163" t="s">
        <v>35</v>
      </c>
      <c r="G163" t="s">
        <v>2</v>
      </c>
      <c r="H163">
        <v>159177</v>
      </c>
      <c r="I163">
        <v>16112</v>
      </c>
      <c r="J163" t="s">
        <v>15</v>
      </c>
      <c r="K163" t="s">
        <v>582</v>
      </c>
      <c r="L163" t="str">
        <f t="shared" si="3"/>
        <v>2026</v>
      </c>
      <c r="M163" t="str">
        <f>IF(Table1[[#This Row],[Budget Remaining]]&gt;40000,"Safe",IF(Table1[[#This Row],[Budget Remaining]]&gt;20000,"Managed",IF(Table1[[#This Row],[Budget Remaining]]&gt;5000,"Critical","Refill")))</f>
        <v>Critical</v>
      </c>
    </row>
    <row r="164" spans="1:13" x14ac:dyDescent="0.3">
      <c r="A164" t="s">
        <v>581</v>
      </c>
      <c r="B164" t="s">
        <v>27</v>
      </c>
      <c r="C164" t="s">
        <v>37</v>
      </c>
      <c r="D164" t="s">
        <v>36</v>
      </c>
      <c r="E164">
        <v>12255</v>
      </c>
      <c r="F164" t="s">
        <v>3</v>
      </c>
      <c r="G164" t="s">
        <v>24</v>
      </c>
      <c r="H164">
        <v>12416</v>
      </c>
      <c r="I164">
        <v>161</v>
      </c>
      <c r="J164" t="s">
        <v>51</v>
      </c>
      <c r="K164" t="s">
        <v>580</v>
      </c>
      <c r="L164" t="str">
        <f t="shared" si="3"/>
        <v>2026</v>
      </c>
      <c r="M164" t="str">
        <f>IF(Table1[[#This Row],[Budget Remaining]]&gt;40000,"Safe",IF(Table1[[#This Row],[Budget Remaining]]&gt;20000,"Managed",IF(Table1[[#This Row],[Budget Remaining]]&gt;5000,"Critical","Refill")))</f>
        <v>Refill</v>
      </c>
    </row>
    <row r="165" spans="1:13" x14ac:dyDescent="0.3">
      <c r="A165" t="s">
        <v>579</v>
      </c>
      <c r="B165" s="1" t="s">
        <v>6</v>
      </c>
      <c r="C165" t="s">
        <v>37</v>
      </c>
      <c r="D165" t="s">
        <v>347</v>
      </c>
      <c r="E165">
        <v>77416</v>
      </c>
      <c r="F165" t="s">
        <v>35</v>
      </c>
      <c r="G165" t="s">
        <v>2</v>
      </c>
      <c r="H165">
        <v>96080</v>
      </c>
      <c r="I165">
        <v>18664</v>
      </c>
      <c r="J165" t="s">
        <v>83</v>
      </c>
      <c r="K165" t="s">
        <v>578</v>
      </c>
      <c r="L165" t="str">
        <f t="shared" si="3"/>
        <v>2026</v>
      </c>
      <c r="M165" t="str">
        <f>IF(Table1[[#This Row],[Budget Remaining]]&gt;40000,"Safe",IF(Table1[[#This Row],[Budget Remaining]]&gt;20000,"Managed",IF(Table1[[#This Row],[Budget Remaining]]&gt;5000,"Critical","Refill")))</f>
        <v>Critical</v>
      </c>
    </row>
    <row r="166" spans="1:13" x14ac:dyDescent="0.3">
      <c r="A166" t="s">
        <v>577</v>
      </c>
      <c r="B166" s="1" t="s">
        <v>6</v>
      </c>
      <c r="C166" t="s">
        <v>41</v>
      </c>
      <c r="D166" t="s">
        <v>132</v>
      </c>
      <c r="E166">
        <v>40299</v>
      </c>
      <c r="F166" t="s">
        <v>10</v>
      </c>
      <c r="G166" t="s">
        <v>2</v>
      </c>
      <c r="H166">
        <v>49124</v>
      </c>
      <c r="I166">
        <v>8825</v>
      </c>
      <c r="J166" t="s">
        <v>100</v>
      </c>
      <c r="K166" t="s">
        <v>576</v>
      </c>
      <c r="L166" t="str">
        <f t="shared" si="3"/>
        <v>2026</v>
      </c>
      <c r="M166" t="str">
        <f>IF(Table1[[#This Row],[Budget Remaining]]&gt;40000,"Safe",IF(Table1[[#This Row],[Budget Remaining]]&gt;20000,"Managed",IF(Table1[[#This Row],[Budget Remaining]]&gt;5000,"Critical","Refill")))</f>
        <v>Critical</v>
      </c>
    </row>
    <row r="167" spans="1:13" x14ac:dyDescent="0.3">
      <c r="A167" t="s">
        <v>575</v>
      </c>
      <c r="B167" s="1" t="s">
        <v>6</v>
      </c>
      <c r="C167" s="1" t="s">
        <v>12</v>
      </c>
      <c r="D167" t="s">
        <v>11</v>
      </c>
      <c r="E167">
        <v>12592</v>
      </c>
      <c r="F167" t="s">
        <v>19</v>
      </c>
      <c r="G167" t="s">
        <v>2</v>
      </c>
      <c r="H167">
        <v>14092</v>
      </c>
      <c r="I167">
        <v>1500</v>
      </c>
      <c r="J167" t="s">
        <v>83</v>
      </c>
      <c r="K167" t="s">
        <v>574</v>
      </c>
      <c r="L167" t="str">
        <f t="shared" si="3"/>
        <v>2026</v>
      </c>
      <c r="M167" t="str">
        <f>IF(Table1[[#This Row],[Budget Remaining]]&gt;40000,"Safe",IF(Table1[[#This Row],[Budget Remaining]]&gt;20000,"Managed",IF(Table1[[#This Row],[Budget Remaining]]&gt;5000,"Critical","Refill")))</f>
        <v>Refill</v>
      </c>
    </row>
    <row r="168" spans="1:13" x14ac:dyDescent="0.3">
      <c r="A168" t="s">
        <v>573</v>
      </c>
      <c r="B168" s="1" t="s">
        <v>6</v>
      </c>
      <c r="C168" t="s">
        <v>37</v>
      </c>
      <c r="D168" t="s">
        <v>347</v>
      </c>
      <c r="E168">
        <v>6952</v>
      </c>
      <c r="F168" t="s">
        <v>19</v>
      </c>
      <c r="G168" t="s">
        <v>2</v>
      </c>
      <c r="H168">
        <v>9987</v>
      </c>
      <c r="I168">
        <v>3035</v>
      </c>
      <c r="J168" t="s">
        <v>1</v>
      </c>
      <c r="K168" t="s">
        <v>572</v>
      </c>
      <c r="L168" t="str">
        <f t="shared" si="3"/>
        <v>2026</v>
      </c>
      <c r="M168" t="str">
        <f>IF(Table1[[#This Row],[Budget Remaining]]&gt;40000,"Safe",IF(Table1[[#This Row],[Budget Remaining]]&gt;20000,"Managed",IF(Table1[[#This Row],[Budget Remaining]]&gt;5000,"Critical","Refill")))</f>
        <v>Refill</v>
      </c>
    </row>
    <row r="169" spans="1:13" x14ac:dyDescent="0.3">
      <c r="A169" t="s">
        <v>571</v>
      </c>
      <c r="B169" s="1" t="s">
        <v>6</v>
      </c>
      <c r="C169" t="s">
        <v>26</v>
      </c>
      <c r="D169" t="s">
        <v>127</v>
      </c>
      <c r="E169">
        <v>57341</v>
      </c>
      <c r="F169" t="s">
        <v>10</v>
      </c>
      <c r="G169" t="s">
        <v>24</v>
      </c>
      <c r="H169">
        <v>65443</v>
      </c>
      <c r="I169">
        <v>8102</v>
      </c>
      <c r="J169" t="s">
        <v>100</v>
      </c>
      <c r="K169" t="s">
        <v>570</v>
      </c>
      <c r="L169" t="str">
        <f t="shared" si="3"/>
        <v>2026</v>
      </c>
      <c r="M169" t="str">
        <f>IF(Table1[[#This Row],[Budget Remaining]]&gt;40000,"Safe",IF(Table1[[#This Row],[Budget Remaining]]&gt;20000,"Managed",IF(Table1[[#This Row],[Budget Remaining]]&gt;5000,"Critical","Refill")))</f>
        <v>Critical</v>
      </c>
    </row>
    <row r="170" spans="1:13" x14ac:dyDescent="0.3">
      <c r="A170" t="s">
        <v>569</v>
      </c>
      <c r="B170" s="1" t="s">
        <v>6</v>
      </c>
      <c r="C170" t="s">
        <v>41</v>
      </c>
      <c r="D170" t="s">
        <v>132</v>
      </c>
      <c r="E170">
        <v>114285</v>
      </c>
      <c r="F170" t="s">
        <v>19</v>
      </c>
      <c r="G170" t="s">
        <v>2</v>
      </c>
      <c r="H170">
        <v>141639</v>
      </c>
      <c r="I170">
        <v>27354</v>
      </c>
      <c r="J170" t="s">
        <v>15</v>
      </c>
      <c r="K170" t="s">
        <v>568</v>
      </c>
      <c r="L170" t="str">
        <f t="shared" si="3"/>
        <v>2026</v>
      </c>
      <c r="M170" t="str">
        <f>IF(Table1[[#This Row],[Budget Remaining]]&gt;40000,"Safe",IF(Table1[[#This Row],[Budget Remaining]]&gt;20000,"Managed",IF(Table1[[#This Row],[Budget Remaining]]&gt;5000,"Critical","Refill")))</f>
        <v>Managed</v>
      </c>
    </row>
    <row r="171" spans="1:13" x14ac:dyDescent="0.3">
      <c r="A171" t="s">
        <v>567</v>
      </c>
      <c r="B171" s="1" t="s">
        <v>6</v>
      </c>
      <c r="C171" t="s">
        <v>21</v>
      </c>
      <c r="D171" t="s">
        <v>20</v>
      </c>
      <c r="E171">
        <v>4554</v>
      </c>
      <c r="F171" t="s">
        <v>10</v>
      </c>
      <c r="G171" t="s">
        <v>2</v>
      </c>
      <c r="H171">
        <v>6160</v>
      </c>
      <c r="I171">
        <v>1606</v>
      </c>
      <c r="J171" t="s">
        <v>44</v>
      </c>
      <c r="K171" t="s">
        <v>566</v>
      </c>
      <c r="L171" t="str">
        <f t="shared" si="3"/>
        <v>2026</v>
      </c>
      <c r="M171" t="str">
        <f>IF(Table1[[#This Row],[Budget Remaining]]&gt;40000,"Safe",IF(Table1[[#This Row],[Budget Remaining]]&gt;20000,"Managed",IF(Table1[[#This Row],[Budget Remaining]]&gt;5000,"Critical","Refill")))</f>
        <v>Refill</v>
      </c>
    </row>
    <row r="172" spans="1:13" x14ac:dyDescent="0.3">
      <c r="A172" t="s">
        <v>565</v>
      </c>
      <c r="B172" s="1" t="s">
        <v>6</v>
      </c>
      <c r="C172" t="s">
        <v>32</v>
      </c>
      <c r="D172" t="s">
        <v>204</v>
      </c>
      <c r="E172">
        <v>13782</v>
      </c>
      <c r="F172" t="s">
        <v>3</v>
      </c>
      <c r="G172" t="s">
        <v>24</v>
      </c>
      <c r="H172">
        <v>17582</v>
      </c>
      <c r="I172">
        <v>3800</v>
      </c>
      <c r="J172" t="s">
        <v>15</v>
      </c>
      <c r="K172" t="s">
        <v>564</v>
      </c>
      <c r="L172" t="str">
        <f t="shared" si="3"/>
        <v>2026</v>
      </c>
      <c r="M172" t="str">
        <f>IF(Table1[[#This Row],[Budget Remaining]]&gt;40000,"Safe",IF(Table1[[#This Row],[Budget Remaining]]&gt;20000,"Managed",IF(Table1[[#This Row],[Budget Remaining]]&gt;5000,"Critical","Refill")))</f>
        <v>Refill</v>
      </c>
    </row>
    <row r="173" spans="1:13" x14ac:dyDescent="0.3">
      <c r="A173" t="s">
        <v>563</v>
      </c>
      <c r="B173" t="s">
        <v>105</v>
      </c>
      <c r="C173" t="s">
        <v>5</v>
      </c>
      <c r="D173" t="s">
        <v>194</v>
      </c>
      <c r="E173">
        <v>5538</v>
      </c>
      <c r="F173" t="s">
        <v>35</v>
      </c>
      <c r="G173" t="s">
        <v>2</v>
      </c>
      <c r="H173">
        <v>6498</v>
      </c>
      <c r="I173">
        <v>960</v>
      </c>
      <c r="J173" t="s">
        <v>67</v>
      </c>
      <c r="K173" t="s">
        <v>562</v>
      </c>
      <c r="L173" t="str">
        <f t="shared" si="3"/>
        <v>2026</v>
      </c>
      <c r="M173" t="str">
        <f>IF(Table1[[#This Row],[Budget Remaining]]&gt;40000,"Safe",IF(Table1[[#This Row],[Budget Remaining]]&gt;20000,"Managed",IF(Table1[[#This Row],[Budget Remaining]]&gt;5000,"Critical","Refill")))</f>
        <v>Refill</v>
      </c>
    </row>
    <row r="174" spans="1:13" x14ac:dyDescent="0.3">
      <c r="A174" t="s">
        <v>561</v>
      </c>
      <c r="B174" t="s">
        <v>105</v>
      </c>
      <c r="C174" t="s">
        <v>41</v>
      </c>
      <c r="D174" t="s">
        <v>340</v>
      </c>
      <c r="E174">
        <v>146575</v>
      </c>
      <c r="F174" t="s">
        <v>3</v>
      </c>
      <c r="G174" t="s">
        <v>2</v>
      </c>
      <c r="H174">
        <v>163470</v>
      </c>
      <c r="I174">
        <v>16895</v>
      </c>
      <c r="J174" t="s">
        <v>30</v>
      </c>
      <c r="K174" t="s">
        <v>560</v>
      </c>
      <c r="L174" t="str">
        <f t="shared" si="3"/>
        <v>2026</v>
      </c>
      <c r="M174" t="str">
        <f>IF(Table1[[#This Row],[Budget Remaining]]&gt;40000,"Safe",IF(Table1[[#This Row],[Budget Remaining]]&gt;20000,"Managed",IF(Table1[[#This Row],[Budget Remaining]]&gt;5000,"Critical","Refill")))</f>
        <v>Critical</v>
      </c>
    </row>
    <row r="175" spans="1:13" x14ac:dyDescent="0.3">
      <c r="A175" t="s">
        <v>559</v>
      </c>
      <c r="B175" t="s">
        <v>105</v>
      </c>
      <c r="C175" t="s">
        <v>37</v>
      </c>
      <c r="D175" t="s">
        <v>189</v>
      </c>
      <c r="E175">
        <v>35815</v>
      </c>
      <c r="F175" t="s">
        <v>35</v>
      </c>
      <c r="G175" t="s">
        <v>2</v>
      </c>
      <c r="H175">
        <v>48321</v>
      </c>
      <c r="I175">
        <v>12506</v>
      </c>
      <c r="J175" t="s">
        <v>1</v>
      </c>
      <c r="K175" t="s">
        <v>558</v>
      </c>
      <c r="L175" t="str">
        <f t="shared" si="3"/>
        <v>2026</v>
      </c>
      <c r="M175" t="str">
        <f>IF(Table1[[#This Row],[Budget Remaining]]&gt;40000,"Safe",IF(Table1[[#This Row],[Budget Remaining]]&gt;20000,"Managed",IF(Table1[[#This Row],[Budget Remaining]]&gt;5000,"Critical","Refill")))</f>
        <v>Critical</v>
      </c>
    </row>
    <row r="176" spans="1:13" x14ac:dyDescent="0.3">
      <c r="A176" t="s">
        <v>557</v>
      </c>
      <c r="B176" t="s">
        <v>105</v>
      </c>
      <c r="C176" t="s">
        <v>37</v>
      </c>
      <c r="D176" t="s">
        <v>189</v>
      </c>
      <c r="E176">
        <v>40428</v>
      </c>
      <c r="F176" t="s">
        <v>10</v>
      </c>
      <c r="G176" t="s">
        <v>2</v>
      </c>
      <c r="H176">
        <v>46047</v>
      </c>
      <c r="I176">
        <v>5619</v>
      </c>
      <c r="J176" t="s">
        <v>1</v>
      </c>
      <c r="K176" t="s">
        <v>556</v>
      </c>
      <c r="L176" t="str">
        <f t="shared" si="3"/>
        <v>2026</v>
      </c>
      <c r="M176" t="str">
        <f>IF(Table1[[#This Row],[Budget Remaining]]&gt;40000,"Safe",IF(Table1[[#This Row],[Budget Remaining]]&gt;20000,"Managed",IF(Table1[[#This Row],[Budget Remaining]]&gt;5000,"Critical","Refill")))</f>
        <v>Critical</v>
      </c>
    </row>
    <row r="177" spans="1:13" x14ac:dyDescent="0.3">
      <c r="A177" t="s">
        <v>555</v>
      </c>
      <c r="B177" t="s">
        <v>105</v>
      </c>
      <c r="C177" s="1" t="s">
        <v>12</v>
      </c>
      <c r="D177" t="s">
        <v>197</v>
      </c>
      <c r="E177">
        <v>69927</v>
      </c>
      <c r="F177" t="s">
        <v>35</v>
      </c>
      <c r="G177" t="s">
        <v>2</v>
      </c>
      <c r="H177">
        <v>70586</v>
      </c>
      <c r="I177">
        <v>659</v>
      </c>
      <c r="J177" t="s">
        <v>1</v>
      </c>
      <c r="K177" t="s">
        <v>554</v>
      </c>
      <c r="L177" t="str">
        <f t="shared" si="3"/>
        <v>2026</v>
      </c>
      <c r="M177" t="str">
        <f>IF(Table1[[#This Row],[Budget Remaining]]&gt;40000,"Safe",IF(Table1[[#This Row],[Budget Remaining]]&gt;20000,"Managed",IF(Table1[[#This Row],[Budget Remaining]]&gt;5000,"Critical","Refill")))</f>
        <v>Refill</v>
      </c>
    </row>
    <row r="178" spans="1:13" x14ac:dyDescent="0.3">
      <c r="A178" t="s">
        <v>553</v>
      </c>
      <c r="B178" t="s">
        <v>105</v>
      </c>
      <c r="C178" t="s">
        <v>21</v>
      </c>
      <c r="D178" t="s">
        <v>104</v>
      </c>
      <c r="E178">
        <v>3607</v>
      </c>
      <c r="F178" t="s">
        <v>19</v>
      </c>
      <c r="G178" t="s">
        <v>2</v>
      </c>
      <c r="H178">
        <v>3940</v>
      </c>
      <c r="I178">
        <v>333</v>
      </c>
      <c r="J178" t="s">
        <v>1</v>
      </c>
      <c r="K178" t="s">
        <v>552</v>
      </c>
      <c r="L178" t="str">
        <f t="shared" si="3"/>
        <v>2026</v>
      </c>
      <c r="M178" t="str">
        <f>IF(Table1[[#This Row],[Budget Remaining]]&gt;40000,"Safe",IF(Table1[[#This Row],[Budget Remaining]]&gt;20000,"Managed",IF(Table1[[#This Row],[Budget Remaining]]&gt;5000,"Critical","Refill")))</f>
        <v>Refill</v>
      </c>
    </row>
    <row r="179" spans="1:13" x14ac:dyDescent="0.3">
      <c r="A179" t="s">
        <v>551</v>
      </c>
      <c r="B179" t="s">
        <v>105</v>
      </c>
      <c r="C179" t="s">
        <v>32</v>
      </c>
      <c r="D179" t="s">
        <v>110</v>
      </c>
      <c r="E179">
        <v>1425</v>
      </c>
      <c r="F179" t="s">
        <v>10</v>
      </c>
      <c r="G179" t="s">
        <v>2</v>
      </c>
      <c r="H179">
        <v>2073</v>
      </c>
      <c r="I179">
        <v>648</v>
      </c>
      <c r="J179" t="s">
        <v>51</v>
      </c>
      <c r="K179" t="s">
        <v>550</v>
      </c>
      <c r="L179" t="str">
        <f t="shared" si="3"/>
        <v>2026</v>
      </c>
      <c r="M179" t="str">
        <f>IF(Table1[[#This Row],[Budget Remaining]]&gt;40000,"Safe",IF(Table1[[#This Row],[Budget Remaining]]&gt;20000,"Managed",IF(Table1[[#This Row],[Budget Remaining]]&gt;5000,"Critical","Refill")))</f>
        <v>Refill</v>
      </c>
    </row>
    <row r="180" spans="1:13" x14ac:dyDescent="0.3">
      <c r="A180" t="s">
        <v>549</v>
      </c>
      <c r="B180" t="s">
        <v>105</v>
      </c>
      <c r="C180" t="s">
        <v>37</v>
      </c>
      <c r="D180" t="s">
        <v>189</v>
      </c>
      <c r="E180">
        <v>49688</v>
      </c>
      <c r="F180" t="s">
        <v>35</v>
      </c>
      <c r="G180" t="s">
        <v>2</v>
      </c>
      <c r="H180">
        <v>67719</v>
      </c>
      <c r="I180">
        <v>18031</v>
      </c>
      <c r="J180" t="s">
        <v>1</v>
      </c>
      <c r="K180" t="s">
        <v>548</v>
      </c>
      <c r="L180" t="str">
        <f t="shared" si="3"/>
        <v>2026</v>
      </c>
      <c r="M180" t="str">
        <f>IF(Table1[[#This Row],[Budget Remaining]]&gt;40000,"Safe",IF(Table1[[#This Row],[Budget Remaining]]&gt;20000,"Managed",IF(Table1[[#This Row],[Budget Remaining]]&gt;5000,"Critical","Refill")))</f>
        <v>Critical</v>
      </c>
    </row>
    <row r="181" spans="1:13" x14ac:dyDescent="0.3">
      <c r="A181" t="s">
        <v>547</v>
      </c>
      <c r="B181" t="s">
        <v>41</v>
      </c>
      <c r="C181" s="1" t="s">
        <v>12</v>
      </c>
      <c r="D181" t="s">
        <v>91</v>
      </c>
      <c r="E181">
        <v>99541</v>
      </c>
      <c r="F181" t="s">
        <v>35</v>
      </c>
      <c r="G181" t="s">
        <v>2</v>
      </c>
      <c r="H181">
        <v>145951</v>
      </c>
      <c r="I181">
        <v>46410</v>
      </c>
      <c r="J181" t="s">
        <v>51</v>
      </c>
      <c r="K181" t="s">
        <v>546</v>
      </c>
      <c r="L181" t="str">
        <f>SUBSTITUTE(2024,1,1)</f>
        <v>2024</v>
      </c>
      <c r="M181" t="str">
        <f>IF(Table1[[#This Row],[Budget Remaining]]&gt;40000,"Safe",IF(Table1[[#This Row],[Budget Remaining]]&gt;20000,"Managed",IF(Table1[[#This Row],[Budget Remaining]]&gt;5000,"Critical","Refill")))</f>
        <v>Safe</v>
      </c>
    </row>
    <row r="182" spans="1:13" x14ac:dyDescent="0.3">
      <c r="A182" t="s">
        <v>545</v>
      </c>
      <c r="B182" t="s">
        <v>41</v>
      </c>
      <c r="C182" t="s">
        <v>69</v>
      </c>
      <c r="D182" t="s">
        <v>94</v>
      </c>
      <c r="E182">
        <v>8326</v>
      </c>
      <c r="F182" t="s">
        <v>3</v>
      </c>
      <c r="G182" t="s">
        <v>2</v>
      </c>
      <c r="H182">
        <v>12324</v>
      </c>
      <c r="I182">
        <v>3998</v>
      </c>
      <c r="J182" t="s">
        <v>1</v>
      </c>
      <c r="K182" t="s">
        <v>544</v>
      </c>
      <c r="L182" t="str">
        <f t="shared" ref="L182:L198" si="4">SUBSTITUTE(2024,1,1)</f>
        <v>2024</v>
      </c>
      <c r="M182" t="str">
        <f>IF(Table1[[#This Row],[Budget Remaining]]&gt;40000,"Safe",IF(Table1[[#This Row],[Budget Remaining]]&gt;20000,"Managed",IF(Table1[[#This Row],[Budget Remaining]]&gt;5000,"Critical","Refill")))</f>
        <v>Refill</v>
      </c>
    </row>
    <row r="183" spans="1:13" x14ac:dyDescent="0.3">
      <c r="A183" t="s">
        <v>543</v>
      </c>
      <c r="B183" t="s">
        <v>41</v>
      </c>
      <c r="C183" t="s">
        <v>69</v>
      </c>
      <c r="D183" t="s">
        <v>94</v>
      </c>
      <c r="E183">
        <v>5802</v>
      </c>
      <c r="F183" t="s">
        <v>10</v>
      </c>
      <c r="G183" t="s">
        <v>2</v>
      </c>
      <c r="H183">
        <v>8700</v>
      </c>
      <c r="I183">
        <v>2898</v>
      </c>
      <c r="J183" t="s">
        <v>51</v>
      </c>
      <c r="K183" t="s">
        <v>542</v>
      </c>
      <c r="L183" t="str">
        <f t="shared" si="4"/>
        <v>2024</v>
      </c>
      <c r="M183" t="str">
        <f>IF(Table1[[#This Row],[Budget Remaining]]&gt;40000,"Safe",IF(Table1[[#This Row],[Budget Remaining]]&gt;20000,"Managed",IF(Table1[[#This Row],[Budget Remaining]]&gt;5000,"Critical","Refill")))</f>
        <v>Refill</v>
      </c>
    </row>
    <row r="184" spans="1:13" x14ac:dyDescent="0.3">
      <c r="A184" t="s">
        <v>541</v>
      </c>
      <c r="B184" t="s">
        <v>41</v>
      </c>
      <c r="C184" t="s">
        <v>37</v>
      </c>
      <c r="D184" t="s">
        <v>182</v>
      </c>
      <c r="E184">
        <v>40949</v>
      </c>
      <c r="F184" t="s">
        <v>10</v>
      </c>
      <c r="G184" t="s">
        <v>24</v>
      </c>
      <c r="H184">
        <v>48355</v>
      </c>
      <c r="I184">
        <v>7406</v>
      </c>
      <c r="J184" t="s">
        <v>1</v>
      </c>
      <c r="K184" t="s">
        <v>540</v>
      </c>
      <c r="L184" t="str">
        <f t="shared" si="4"/>
        <v>2024</v>
      </c>
      <c r="M184" t="str">
        <f>IF(Table1[[#This Row],[Budget Remaining]]&gt;40000,"Safe",IF(Table1[[#This Row],[Budget Remaining]]&gt;20000,"Managed",IF(Table1[[#This Row],[Budget Remaining]]&gt;5000,"Critical","Refill")))</f>
        <v>Critical</v>
      </c>
    </row>
    <row r="185" spans="1:13" x14ac:dyDescent="0.3">
      <c r="A185" t="s">
        <v>539</v>
      </c>
      <c r="B185" t="s">
        <v>41</v>
      </c>
      <c r="C185" t="s">
        <v>69</v>
      </c>
      <c r="D185" t="s">
        <v>94</v>
      </c>
      <c r="E185">
        <v>21626</v>
      </c>
      <c r="F185" t="s">
        <v>10</v>
      </c>
      <c r="G185" t="s">
        <v>2</v>
      </c>
      <c r="H185">
        <v>28771</v>
      </c>
      <c r="I185">
        <v>7145</v>
      </c>
      <c r="J185" t="s">
        <v>44</v>
      </c>
      <c r="K185" t="s">
        <v>538</v>
      </c>
      <c r="L185" t="str">
        <f t="shared" si="4"/>
        <v>2024</v>
      </c>
      <c r="M185" t="str">
        <f>IF(Table1[[#This Row],[Budget Remaining]]&gt;40000,"Safe",IF(Table1[[#This Row],[Budget Remaining]]&gt;20000,"Managed",IF(Table1[[#This Row],[Budget Remaining]]&gt;5000,"Critical","Refill")))</f>
        <v>Critical</v>
      </c>
    </row>
    <row r="186" spans="1:13" x14ac:dyDescent="0.3">
      <c r="A186" t="s">
        <v>537</v>
      </c>
      <c r="B186" t="s">
        <v>41</v>
      </c>
      <c r="C186" t="s">
        <v>37</v>
      </c>
      <c r="D186" t="s">
        <v>182</v>
      </c>
      <c r="E186">
        <v>62659</v>
      </c>
      <c r="F186" t="s">
        <v>10</v>
      </c>
      <c r="G186" t="s">
        <v>2</v>
      </c>
      <c r="H186">
        <v>62937</v>
      </c>
      <c r="I186">
        <v>278</v>
      </c>
      <c r="J186" t="s">
        <v>18</v>
      </c>
      <c r="K186" t="s">
        <v>536</v>
      </c>
      <c r="L186" t="str">
        <f t="shared" si="4"/>
        <v>2024</v>
      </c>
      <c r="M186" t="str">
        <f>IF(Table1[[#This Row],[Budget Remaining]]&gt;40000,"Safe",IF(Table1[[#This Row],[Budget Remaining]]&gt;20000,"Managed",IF(Table1[[#This Row],[Budget Remaining]]&gt;5000,"Critical","Refill")))</f>
        <v>Refill</v>
      </c>
    </row>
    <row r="187" spans="1:13" x14ac:dyDescent="0.3">
      <c r="A187" t="s">
        <v>535</v>
      </c>
      <c r="B187" t="s">
        <v>41</v>
      </c>
      <c r="C187" s="1" t="s">
        <v>12</v>
      </c>
      <c r="D187" t="s">
        <v>91</v>
      </c>
      <c r="E187">
        <v>12678</v>
      </c>
      <c r="F187" t="s">
        <v>10</v>
      </c>
      <c r="G187" t="s">
        <v>24</v>
      </c>
      <c r="H187">
        <v>16352</v>
      </c>
      <c r="I187">
        <v>3674</v>
      </c>
      <c r="J187" t="s">
        <v>18</v>
      </c>
      <c r="K187" t="s">
        <v>534</v>
      </c>
      <c r="L187" t="str">
        <f t="shared" si="4"/>
        <v>2024</v>
      </c>
      <c r="M187" t="str">
        <f>IF(Table1[[#This Row],[Budget Remaining]]&gt;40000,"Safe",IF(Table1[[#This Row],[Budget Remaining]]&gt;20000,"Managed",IF(Table1[[#This Row],[Budget Remaining]]&gt;5000,"Critical","Refill")))</f>
        <v>Refill</v>
      </c>
    </row>
    <row r="188" spans="1:13" x14ac:dyDescent="0.3">
      <c r="A188" t="s">
        <v>533</v>
      </c>
      <c r="B188" t="s">
        <v>80</v>
      </c>
      <c r="C188" t="s">
        <v>26</v>
      </c>
      <c r="D188" t="s">
        <v>315</v>
      </c>
      <c r="E188">
        <v>57134</v>
      </c>
      <c r="F188" t="s">
        <v>10</v>
      </c>
      <c r="G188" t="s">
        <v>2</v>
      </c>
      <c r="H188">
        <v>64504</v>
      </c>
      <c r="I188">
        <v>7370</v>
      </c>
      <c r="J188" t="s">
        <v>44</v>
      </c>
      <c r="K188" t="s">
        <v>532</v>
      </c>
      <c r="L188" t="str">
        <f t="shared" si="4"/>
        <v>2024</v>
      </c>
      <c r="M188" t="str">
        <f>IF(Table1[[#This Row],[Budget Remaining]]&gt;40000,"Safe",IF(Table1[[#This Row],[Budget Remaining]]&gt;20000,"Managed",IF(Table1[[#This Row],[Budget Remaining]]&gt;5000,"Critical","Refill")))</f>
        <v>Critical</v>
      </c>
    </row>
    <row r="189" spans="1:13" x14ac:dyDescent="0.3">
      <c r="A189" t="s">
        <v>531</v>
      </c>
      <c r="B189" t="s">
        <v>80</v>
      </c>
      <c r="C189" t="s">
        <v>21</v>
      </c>
      <c r="D189" t="s">
        <v>79</v>
      </c>
      <c r="E189">
        <v>5663</v>
      </c>
      <c r="F189" t="s">
        <v>19</v>
      </c>
      <c r="G189" t="s">
        <v>2</v>
      </c>
      <c r="H189">
        <v>6157</v>
      </c>
      <c r="I189">
        <v>494</v>
      </c>
      <c r="J189" t="s">
        <v>67</v>
      </c>
      <c r="K189" t="s">
        <v>530</v>
      </c>
      <c r="L189" t="str">
        <f t="shared" si="4"/>
        <v>2024</v>
      </c>
      <c r="M189" t="str">
        <f>IF(Table1[[#This Row],[Budget Remaining]]&gt;40000,"Safe",IF(Table1[[#This Row],[Budget Remaining]]&gt;20000,"Managed",IF(Table1[[#This Row],[Budget Remaining]]&gt;5000,"Critical","Refill")))</f>
        <v>Refill</v>
      </c>
    </row>
    <row r="190" spans="1:13" x14ac:dyDescent="0.3">
      <c r="A190" t="s">
        <v>529</v>
      </c>
      <c r="B190" t="s">
        <v>80</v>
      </c>
      <c r="C190" t="s">
        <v>37</v>
      </c>
      <c r="D190" t="s">
        <v>459</v>
      </c>
      <c r="E190">
        <v>29150</v>
      </c>
      <c r="F190" t="s">
        <v>35</v>
      </c>
      <c r="G190" t="s">
        <v>24</v>
      </c>
      <c r="H190">
        <v>39126</v>
      </c>
      <c r="I190">
        <v>9976</v>
      </c>
      <c r="J190" t="s">
        <v>30</v>
      </c>
      <c r="K190" t="s">
        <v>528</v>
      </c>
      <c r="L190" t="str">
        <f t="shared" si="4"/>
        <v>2024</v>
      </c>
      <c r="M190" t="str">
        <f>IF(Table1[[#This Row],[Budget Remaining]]&gt;40000,"Safe",IF(Table1[[#This Row],[Budget Remaining]]&gt;20000,"Managed",IF(Table1[[#This Row],[Budget Remaining]]&gt;5000,"Critical","Refill")))</f>
        <v>Critical</v>
      </c>
    </row>
    <row r="191" spans="1:13" x14ac:dyDescent="0.3">
      <c r="A191" t="s">
        <v>527</v>
      </c>
      <c r="B191" t="s">
        <v>55</v>
      </c>
      <c r="C191" t="s">
        <v>21</v>
      </c>
      <c r="D191" t="s">
        <v>522</v>
      </c>
      <c r="E191">
        <v>998</v>
      </c>
      <c r="F191" t="s">
        <v>10</v>
      </c>
      <c r="G191" t="s">
        <v>2</v>
      </c>
      <c r="H191">
        <v>1473</v>
      </c>
      <c r="I191">
        <v>475</v>
      </c>
      <c r="J191" t="s">
        <v>30</v>
      </c>
      <c r="K191" t="s">
        <v>526</v>
      </c>
      <c r="L191" t="str">
        <f t="shared" si="4"/>
        <v>2024</v>
      </c>
      <c r="M191" t="str">
        <f>IF(Table1[[#This Row],[Budget Remaining]]&gt;40000,"Safe",IF(Table1[[#This Row],[Budget Remaining]]&gt;20000,"Managed",IF(Table1[[#This Row],[Budget Remaining]]&gt;5000,"Critical","Refill")))</f>
        <v>Refill</v>
      </c>
    </row>
    <row r="192" spans="1:13" x14ac:dyDescent="0.3">
      <c r="A192" t="s">
        <v>525</v>
      </c>
      <c r="B192" t="s">
        <v>55</v>
      </c>
      <c r="C192" t="s">
        <v>37</v>
      </c>
      <c r="D192" t="s">
        <v>54</v>
      </c>
      <c r="E192">
        <v>35762</v>
      </c>
      <c r="F192" t="s">
        <v>35</v>
      </c>
      <c r="G192" t="s">
        <v>2</v>
      </c>
      <c r="H192">
        <v>42016</v>
      </c>
      <c r="I192">
        <v>6254</v>
      </c>
      <c r="J192" t="s">
        <v>18</v>
      </c>
      <c r="K192" t="s">
        <v>524</v>
      </c>
      <c r="L192" t="str">
        <f t="shared" si="4"/>
        <v>2024</v>
      </c>
      <c r="M192" t="str">
        <f>IF(Table1[[#This Row],[Budget Remaining]]&gt;40000,"Safe",IF(Table1[[#This Row],[Budget Remaining]]&gt;20000,"Managed",IF(Table1[[#This Row],[Budget Remaining]]&gt;5000,"Critical","Refill")))</f>
        <v>Critical</v>
      </c>
    </row>
    <row r="193" spans="1:13" x14ac:dyDescent="0.3">
      <c r="A193" t="s">
        <v>523</v>
      </c>
      <c r="B193" t="s">
        <v>55</v>
      </c>
      <c r="C193" t="s">
        <v>21</v>
      </c>
      <c r="D193" t="s">
        <v>522</v>
      </c>
      <c r="E193">
        <v>2171</v>
      </c>
      <c r="F193" t="s">
        <v>35</v>
      </c>
      <c r="G193" t="s">
        <v>2</v>
      </c>
      <c r="H193">
        <v>2525</v>
      </c>
      <c r="I193">
        <v>354</v>
      </c>
      <c r="J193" t="s">
        <v>83</v>
      </c>
      <c r="K193" t="s">
        <v>521</v>
      </c>
      <c r="L193" t="str">
        <f t="shared" si="4"/>
        <v>2024</v>
      </c>
      <c r="M193" t="str">
        <f>IF(Table1[[#This Row],[Budget Remaining]]&gt;40000,"Safe",IF(Table1[[#This Row],[Budget Remaining]]&gt;20000,"Managed",IF(Table1[[#This Row],[Budget Remaining]]&gt;5000,"Critical","Refill")))</f>
        <v>Refill</v>
      </c>
    </row>
    <row r="194" spans="1:13" x14ac:dyDescent="0.3">
      <c r="A194" t="s">
        <v>520</v>
      </c>
      <c r="B194" t="s">
        <v>55</v>
      </c>
      <c r="C194" t="s">
        <v>41</v>
      </c>
      <c r="D194" t="s">
        <v>58</v>
      </c>
      <c r="E194">
        <v>16473</v>
      </c>
      <c r="F194" t="s">
        <v>10</v>
      </c>
      <c r="G194" t="s">
        <v>2</v>
      </c>
      <c r="H194">
        <v>19163</v>
      </c>
      <c r="I194">
        <v>2690</v>
      </c>
      <c r="J194" t="s">
        <v>83</v>
      </c>
      <c r="K194" t="s">
        <v>519</v>
      </c>
      <c r="L194" t="str">
        <f t="shared" si="4"/>
        <v>2024</v>
      </c>
      <c r="M194" t="str">
        <f>IF(Table1[[#This Row],[Budget Remaining]]&gt;40000,"Safe",IF(Table1[[#This Row],[Budget Remaining]]&gt;20000,"Managed",IF(Table1[[#This Row],[Budget Remaining]]&gt;5000,"Critical","Refill")))</f>
        <v>Refill</v>
      </c>
    </row>
    <row r="195" spans="1:13" x14ac:dyDescent="0.3">
      <c r="A195" t="s">
        <v>518</v>
      </c>
      <c r="B195" t="s">
        <v>55</v>
      </c>
      <c r="C195" t="s">
        <v>32</v>
      </c>
      <c r="D195" t="s">
        <v>64</v>
      </c>
      <c r="E195">
        <v>8711</v>
      </c>
      <c r="F195" t="s">
        <v>19</v>
      </c>
      <c r="G195" t="s">
        <v>2</v>
      </c>
      <c r="H195">
        <v>12816</v>
      </c>
      <c r="I195">
        <v>4105</v>
      </c>
      <c r="J195" t="s">
        <v>30</v>
      </c>
      <c r="K195" t="s">
        <v>517</v>
      </c>
      <c r="L195" t="str">
        <f t="shared" si="4"/>
        <v>2024</v>
      </c>
      <c r="M195" t="str">
        <f>IF(Table1[[#This Row],[Budget Remaining]]&gt;40000,"Safe",IF(Table1[[#This Row],[Budget Remaining]]&gt;20000,"Managed",IF(Table1[[#This Row],[Budget Remaining]]&gt;5000,"Critical","Refill")))</f>
        <v>Refill</v>
      </c>
    </row>
    <row r="196" spans="1:13" x14ac:dyDescent="0.3">
      <c r="A196" t="s">
        <v>516</v>
      </c>
      <c r="B196" t="s">
        <v>55</v>
      </c>
      <c r="C196" t="s">
        <v>69</v>
      </c>
      <c r="D196" t="s">
        <v>68</v>
      </c>
      <c r="E196">
        <v>7917</v>
      </c>
      <c r="F196" t="s">
        <v>19</v>
      </c>
      <c r="G196" t="s">
        <v>24</v>
      </c>
      <c r="H196">
        <v>11527</v>
      </c>
      <c r="I196">
        <v>3610</v>
      </c>
      <c r="J196" t="s">
        <v>100</v>
      </c>
      <c r="K196" t="s">
        <v>515</v>
      </c>
      <c r="L196" t="str">
        <f t="shared" si="4"/>
        <v>2024</v>
      </c>
      <c r="M196" t="str">
        <f>IF(Table1[[#This Row],[Budget Remaining]]&gt;40000,"Safe",IF(Table1[[#This Row],[Budget Remaining]]&gt;20000,"Managed",IF(Table1[[#This Row],[Budget Remaining]]&gt;5000,"Critical","Refill")))</f>
        <v>Refill</v>
      </c>
    </row>
    <row r="197" spans="1:13" x14ac:dyDescent="0.3">
      <c r="A197" t="s">
        <v>514</v>
      </c>
      <c r="B197" t="s">
        <v>55</v>
      </c>
      <c r="C197" t="s">
        <v>32</v>
      </c>
      <c r="D197" t="s">
        <v>64</v>
      </c>
      <c r="E197">
        <v>4520</v>
      </c>
      <c r="F197" t="s">
        <v>19</v>
      </c>
      <c r="G197" t="s">
        <v>2</v>
      </c>
      <c r="H197">
        <v>5376</v>
      </c>
      <c r="I197">
        <v>856</v>
      </c>
      <c r="J197" t="s">
        <v>83</v>
      </c>
      <c r="K197" t="s">
        <v>513</v>
      </c>
      <c r="L197" t="str">
        <f t="shared" si="4"/>
        <v>2024</v>
      </c>
      <c r="M197" t="str">
        <f>IF(Table1[[#This Row],[Budget Remaining]]&gt;40000,"Safe",IF(Table1[[#This Row],[Budget Remaining]]&gt;20000,"Managed",IF(Table1[[#This Row],[Budget Remaining]]&gt;5000,"Critical","Refill")))</f>
        <v>Refill</v>
      </c>
    </row>
    <row r="198" spans="1:13" x14ac:dyDescent="0.3">
      <c r="A198" t="s">
        <v>512</v>
      </c>
      <c r="B198" t="s">
        <v>27</v>
      </c>
      <c r="C198" t="s">
        <v>5</v>
      </c>
      <c r="D198" t="s">
        <v>48</v>
      </c>
      <c r="E198">
        <v>16718</v>
      </c>
      <c r="F198" t="s">
        <v>35</v>
      </c>
      <c r="G198" t="s">
        <v>24</v>
      </c>
      <c r="H198">
        <v>21444</v>
      </c>
      <c r="I198">
        <v>4726</v>
      </c>
      <c r="J198" t="s">
        <v>67</v>
      </c>
      <c r="K198" t="s">
        <v>511</v>
      </c>
      <c r="L198" t="str">
        <f t="shared" si="4"/>
        <v>2024</v>
      </c>
      <c r="M198" t="str">
        <f>IF(Table1[[#This Row],[Budget Remaining]]&gt;40000,"Safe",IF(Table1[[#This Row],[Budget Remaining]]&gt;20000,"Managed",IF(Table1[[#This Row],[Budget Remaining]]&gt;5000,"Critical","Refill")))</f>
        <v>Refill</v>
      </c>
    </row>
    <row r="199" spans="1:13" x14ac:dyDescent="0.3">
      <c r="A199" t="s">
        <v>510</v>
      </c>
      <c r="B199" t="s">
        <v>27</v>
      </c>
      <c r="C199" t="s">
        <v>37</v>
      </c>
      <c r="D199" t="s">
        <v>36</v>
      </c>
      <c r="E199">
        <v>66909</v>
      </c>
      <c r="F199" t="s">
        <v>35</v>
      </c>
      <c r="G199" t="s">
        <v>2</v>
      </c>
      <c r="H199">
        <v>88962</v>
      </c>
      <c r="I199">
        <v>22053</v>
      </c>
      <c r="J199" t="s">
        <v>15</v>
      </c>
      <c r="K199" t="s">
        <v>509</v>
      </c>
      <c r="L199" t="str">
        <f t="shared" ref="L199:L245" si="5">SUBSTITUTE(2026,1,1)</f>
        <v>2026</v>
      </c>
      <c r="M199" t="str">
        <f>IF(Table1[[#This Row],[Budget Remaining]]&gt;40000,"Safe",IF(Table1[[#This Row],[Budget Remaining]]&gt;20000,"Managed",IF(Table1[[#This Row],[Budget Remaining]]&gt;5000,"Critical","Refill")))</f>
        <v>Managed</v>
      </c>
    </row>
    <row r="200" spans="1:13" x14ac:dyDescent="0.3">
      <c r="A200" t="s">
        <v>508</v>
      </c>
      <c r="B200" t="s">
        <v>27</v>
      </c>
      <c r="C200" t="s">
        <v>69</v>
      </c>
      <c r="D200" t="s">
        <v>368</v>
      </c>
      <c r="E200">
        <v>10996</v>
      </c>
      <c r="F200" t="s">
        <v>10</v>
      </c>
      <c r="G200" t="s">
        <v>2</v>
      </c>
      <c r="H200">
        <v>12803</v>
      </c>
      <c r="I200">
        <v>1807</v>
      </c>
      <c r="J200" t="s">
        <v>44</v>
      </c>
      <c r="K200" t="s">
        <v>507</v>
      </c>
      <c r="L200" t="str">
        <f t="shared" si="5"/>
        <v>2026</v>
      </c>
      <c r="M200" t="str">
        <f>IF(Table1[[#This Row],[Budget Remaining]]&gt;40000,"Safe",IF(Table1[[#This Row],[Budget Remaining]]&gt;20000,"Managed",IF(Table1[[#This Row],[Budget Remaining]]&gt;5000,"Critical","Refill")))</f>
        <v>Refill</v>
      </c>
    </row>
    <row r="201" spans="1:13" x14ac:dyDescent="0.3">
      <c r="A201" t="s">
        <v>506</v>
      </c>
      <c r="B201" s="1" t="s">
        <v>6</v>
      </c>
      <c r="C201" t="s">
        <v>5</v>
      </c>
      <c r="D201" t="s">
        <v>4</v>
      </c>
      <c r="E201">
        <v>47421</v>
      </c>
      <c r="F201" t="s">
        <v>35</v>
      </c>
      <c r="G201" t="s">
        <v>2</v>
      </c>
      <c r="H201">
        <v>53136</v>
      </c>
      <c r="I201">
        <v>5715</v>
      </c>
      <c r="J201" t="s">
        <v>67</v>
      </c>
      <c r="K201" t="s">
        <v>505</v>
      </c>
      <c r="L201" t="str">
        <f t="shared" si="5"/>
        <v>2026</v>
      </c>
      <c r="M201" t="str">
        <f>IF(Table1[[#This Row],[Budget Remaining]]&gt;40000,"Safe",IF(Table1[[#This Row],[Budget Remaining]]&gt;20000,"Managed",IF(Table1[[#This Row],[Budget Remaining]]&gt;5000,"Critical","Refill")))</f>
        <v>Critical</v>
      </c>
    </row>
    <row r="202" spans="1:13" x14ac:dyDescent="0.3">
      <c r="A202" t="s">
        <v>504</v>
      </c>
      <c r="B202" s="1" t="s">
        <v>6</v>
      </c>
      <c r="C202" t="s">
        <v>5</v>
      </c>
      <c r="D202" t="s">
        <v>4</v>
      </c>
      <c r="E202">
        <v>25743</v>
      </c>
      <c r="F202" t="s">
        <v>3</v>
      </c>
      <c r="G202" t="s">
        <v>2</v>
      </c>
      <c r="H202">
        <v>34152</v>
      </c>
      <c r="I202">
        <v>8409</v>
      </c>
      <c r="J202" t="s">
        <v>83</v>
      </c>
      <c r="K202" t="s">
        <v>503</v>
      </c>
      <c r="L202" t="str">
        <f t="shared" si="5"/>
        <v>2026</v>
      </c>
      <c r="M202" t="str">
        <f>IF(Table1[[#This Row],[Budget Remaining]]&gt;40000,"Safe",IF(Table1[[#This Row],[Budget Remaining]]&gt;20000,"Managed",IF(Table1[[#This Row],[Budget Remaining]]&gt;5000,"Critical","Refill")))</f>
        <v>Critical</v>
      </c>
    </row>
    <row r="203" spans="1:13" x14ac:dyDescent="0.3">
      <c r="A203" t="s">
        <v>502</v>
      </c>
      <c r="B203" s="1" t="s">
        <v>6</v>
      </c>
      <c r="C203" t="s">
        <v>41</v>
      </c>
      <c r="D203" t="s">
        <v>132</v>
      </c>
      <c r="E203">
        <v>74210</v>
      </c>
      <c r="F203" t="s">
        <v>3</v>
      </c>
      <c r="G203" t="s">
        <v>24</v>
      </c>
      <c r="H203">
        <v>103020</v>
      </c>
      <c r="I203">
        <v>28810</v>
      </c>
      <c r="J203" t="s">
        <v>15</v>
      </c>
      <c r="K203" t="s">
        <v>501</v>
      </c>
      <c r="L203" t="str">
        <f t="shared" si="5"/>
        <v>2026</v>
      </c>
      <c r="M203" t="str">
        <f>IF(Table1[[#This Row],[Budget Remaining]]&gt;40000,"Safe",IF(Table1[[#This Row],[Budget Remaining]]&gt;20000,"Managed",IF(Table1[[#This Row],[Budget Remaining]]&gt;5000,"Critical","Refill")))</f>
        <v>Managed</v>
      </c>
    </row>
    <row r="204" spans="1:13" x14ac:dyDescent="0.3">
      <c r="A204" t="s">
        <v>500</v>
      </c>
      <c r="B204" s="1" t="s">
        <v>6</v>
      </c>
      <c r="C204" t="s">
        <v>32</v>
      </c>
      <c r="D204" t="s">
        <v>204</v>
      </c>
      <c r="E204">
        <v>6142</v>
      </c>
      <c r="F204" t="s">
        <v>35</v>
      </c>
      <c r="G204" t="s">
        <v>24</v>
      </c>
      <c r="H204">
        <v>6504</v>
      </c>
      <c r="I204">
        <v>362</v>
      </c>
      <c r="J204" t="s">
        <v>9</v>
      </c>
      <c r="K204" t="s">
        <v>499</v>
      </c>
      <c r="L204" t="str">
        <f t="shared" si="5"/>
        <v>2026</v>
      </c>
      <c r="M204" t="str">
        <f>IF(Table1[[#This Row],[Budget Remaining]]&gt;40000,"Safe",IF(Table1[[#This Row],[Budget Remaining]]&gt;20000,"Managed",IF(Table1[[#This Row],[Budget Remaining]]&gt;5000,"Critical","Refill")))</f>
        <v>Refill</v>
      </c>
    </row>
    <row r="205" spans="1:13" x14ac:dyDescent="0.3">
      <c r="A205" t="s">
        <v>498</v>
      </c>
      <c r="B205" s="1" t="s">
        <v>6</v>
      </c>
      <c r="C205" t="s">
        <v>26</v>
      </c>
      <c r="D205" t="s">
        <v>127</v>
      </c>
      <c r="E205">
        <v>175840</v>
      </c>
      <c r="F205" t="s">
        <v>3</v>
      </c>
      <c r="G205" t="s">
        <v>2</v>
      </c>
      <c r="H205">
        <v>253336</v>
      </c>
      <c r="I205">
        <v>77496</v>
      </c>
      <c r="J205" t="s">
        <v>1</v>
      </c>
      <c r="K205" t="s">
        <v>497</v>
      </c>
      <c r="L205" t="str">
        <f t="shared" si="5"/>
        <v>2026</v>
      </c>
      <c r="M205" t="str">
        <f>IF(Table1[[#This Row],[Budget Remaining]]&gt;40000,"Safe",IF(Table1[[#This Row],[Budget Remaining]]&gt;20000,"Managed",IF(Table1[[#This Row],[Budget Remaining]]&gt;5000,"Critical","Refill")))</f>
        <v>Safe</v>
      </c>
    </row>
    <row r="206" spans="1:13" x14ac:dyDescent="0.3">
      <c r="A206" t="s">
        <v>496</v>
      </c>
      <c r="B206" s="1" t="s">
        <v>6</v>
      </c>
      <c r="C206" t="s">
        <v>5</v>
      </c>
      <c r="D206" t="s">
        <v>4</v>
      </c>
      <c r="E206">
        <v>29435</v>
      </c>
      <c r="F206" t="s">
        <v>35</v>
      </c>
      <c r="G206" t="s">
        <v>2</v>
      </c>
      <c r="H206">
        <v>33311</v>
      </c>
      <c r="I206">
        <v>3876</v>
      </c>
      <c r="J206" t="s">
        <v>9</v>
      </c>
      <c r="K206" t="s">
        <v>495</v>
      </c>
      <c r="L206" t="str">
        <f t="shared" si="5"/>
        <v>2026</v>
      </c>
      <c r="M206" t="str">
        <f>IF(Table1[[#This Row],[Budget Remaining]]&gt;40000,"Safe",IF(Table1[[#This Row],[Budget Remaining]]&gt;20000,"Managed",IF(Table1[[#This Row],[Budget Remaining]]&gt;5000,"Critical","Refill")))</f>
        <v>Refill</v>
      </c>
    </row>
    <row r="207" spans="1:13" x14ac:dyDescent="0.3">
      <c r="A207" t="s">
        <v>494</v>
      </c>
      <c r="B207" s="1" t="s">
        <v>6</v>
      </c>
      <c r="C207" s="1" t="s">
        <v>12</v>
      </c>
      <c r="D207" t="s">
        <v>11</v>
      </c>
      <c r="E207">
        <v>8136</v>
      </c>
      <c r="F207" t="s">
        <v>3</v>
      </c>
      <c r="G207" t="s">
        <v>24</v>
      </c>
      <c r="H207">
        <v>10943</v>
      </c>
      <c r="I207">
        <v>2807</v>
      </c>
      <c r="J207" t="s">
        <v>18</v>
      </c>
      <c r="K207" t="s">
        <v>493</v>
      </c>
      <c r="L207" t="str">
        <f t="shared" si="5"/>
        <v>2026</v>
      </c>
      <c r="M207" t="str">
        <f>IF(Table1[[#This Row],[Budget Remaining]]&gt;40000,"Safe",IF(Table1[[#This Row],[Budget Remaining]]&gt;20000,"Managed",IF(Table1[[#This Row],[Budget Remaining]]&gt;5000,"Critical","Refill")))</f>
        <v>Refill</v>
      </c>
    </row>
    <row r="208" spans="1:13" x14ac:dyDescent="0.3">
      <c r="A208" t="s">
        <v>492</v>
      </c>
      <c r="B208" s="1" t="s">
        <v>6</v>
      </c>
      <c r="C208" s="1" t="s">
        <v>12</v>
      </c>
      <c r="D208" t="s">
        <v>11</v>
      </c>
      <c r="E208">
        <v>51447</v>
      </c>
      <c r="F208" t="s">
        <v>3</v>
      </c>
      <c r="G208" t="s">
        <v>2</v>
      </c>
      <c r="H208">
        <v>54726</v>
      </c>
      <c r="I208">
        <v>3279</v>
      </c>
      <c r="J208" t="s">
        <v>67</v>
      </c>
      <c r="K208" t="s">
        <v>491</v>
      </c>
      <c r="L208" t="str">
        <f t="shared" si="5"/>
        <v>2026</v>
      </c>
      <c r="M208" t="str">
        <f>IF(Table1[[#This Row],[Budget Remaining]]&gt;40000,"Safe",IF(Table1[[#This Row],[Budget Remaining]]&gt;20000,"Managed",IF(Table1[[#This Row],[Budget Remaining]]&gt;5000,"Critical","Refill")))</f>
        <v>Refill</v>
      </c>
    </row>
    <row r="209" spans="1:13" x14ac:dyDescent="0.3">
      <c r="A209" t="s">
        <v>490</v>
      </c>
      <c r="B209" t="s">
        <v>105</v>
      </c>
      <c r="C209" t="s">
        <v>5</v>
      </c>
      <c r="D209" t="s">
        <v>194</v>
      </c>
      <c r="E209">
        <v>49328</v>
      </c>
      <c r="F209" t="s">
        <v>10</v>
      </c>
      <c r="G209" t="s">
        <v>2</v>
      </c>
      <c r="H209">
        <v>50444</v>
      </c>
      <c r="I209">
        <v>1116</v>
      </c>
      <c r="J209" t="s">
        <v>83</v>
      </c>
      <c r="K209" t="s">
        <v>489</v>
      </c>
      <c r="L209" t="str">
        <f t="shared" si="5"/>
        <v>2026</v>
      </c>
      <c r="M209" t="str">
        <f>IF(Table1[[#This Row],[Budget Remaining]]&gt;40000,"Safe",IF(Table1[[#This Row],[Budget Remaining]]&gt;20000,"Managed",IF(Table1[[#This Row],[Budget Remaining]]&gt;5000,"Critical","Refill")))</f>
        <v>Refill</v>
      </c>
    </row>
    <row r="210" spans="1:13" x14ac:dyDescent="0.3">
      <c r="A210" t="s">
        <v>488</v>
      </c>
      <c r="B210" t="s">
        <v>105</v>
      </c>
      <c r="C210" t="s">
        <v>26</v>
      </c>
      <c r="D210" t="s">
        <v>113</v>
      </c>
      <c r="E210">
        <v>124213</v>
      </c>
      <c r="F210" t="s">
        <v>3</v>
      </c>
      <c r="G210" t="s">
        <v>2</v>
      </c>
      <c r="H210">
        <v>142180</v>
      </c>
      <c r="I210">
        <v>17967</v>
      </c>
      <c r="J210" t="s">
        <v>51</v>
      </c>
      <c r="K210" t="s">
        <v>487</v>
      </c>
      <c r="L210" t="str">
        <f t="shared" si="5"/>
        <v>2026</v>
      </c>
      <c r="M210" t="str">
        <f>IF(Table1[[#This Row],[Budget Remaining]]&gt;40000,"Safe",IF(Table1[[#This Row],[Budget Remaining]]&gt;20000,"Managed",IF(Table1[[#This Row],[Budget Remaining]]&gt;5000,"Critical","Refill")))</f>
        <v>Critical</v>
      </c>
    </row>
    <row r="211" spans="1:13" x14ac:dyDescent="0.3">
      <c r="A211" t="s">
        <v>486</v>
      </c>
      <c r="B211" t="s">
        <v>105</v>
      </c>
      <c r="C211" t="s">
        <v>5</v>
      </c>
      <c r="D211" t="s">
        <v>194</v>
      </c>
      <c r="E211">
        <v>11978</v>
      </c>
      <c r="F211" t="s">
        <v>10</v>
      </c>
      <c r="G211" t="s">
        <v>2</v>
      </c>
      <c r="H211">
        <v>17342</v>
      </c>
      <c r="I211">
        <v>5364</v>
      </c>
      <c r="J211" t="s">
        <v>83</v>
      </c>
      <c r="K211" t="s">
        <v>485</v>
      </c>
      <c r="L211" t="str">
        <f t="shared" si="5"/>
        <v>2026</v>
      </c>
      <c r="M211" t="str">
        <f>IF(Table1[[#This Row],[Budget Remaining]]&gt;40000,"Safe",IF(Table1[[#This Row],[Budget Remaining]]&gt;20000,"Managed",IF(Table1[[#This Row],[Budget Remaining]]&gt;5000,"Critical","Refill")))</f>
        <v>Critical</v>
      </c>
    </row>
    <row r="212" spans="1:13" x14ac:dyDescent="0.3">
      <c r="A212" t="s">
        <v>484</v>
      </c>
      <c r="B212" t="s">
        <v>105</v>
      </c>
      <c r="C212" t="s">
        <v>26</v>
      </c>
      <c r="D212" t="s">
        <v>113</v>
      </c>
      <c r="E212">
        <v>56326</v>
      </c>
      <c r="F212" t="s">
        <v>10</v>
      </c>
      <c r="G212" t="s">
        <v>2</v>
      </c>
      <c r="H212">
        <v>70652</v>
      </c>
      <c r="I212">
        <v>14326</v>
      </c>
      <c r="J212" t="s">
        <v>100</v>
      </c>
      <c r="K212" t="s">
        <v>483</v>
      </c>
      <c r="L212" t="str">
        <f t="shared" si="5"/>
        <v>2026</v>
      </c>
      <c r="M212" t="str">
        <f>IF(Table1[[#This Row],[Budget Remaining]]&gt;40000,"Safe",IF(Table1[[#This Row],[Budget Remaining]]&gt;20000,"Managed",IF(Table1[[#This Row],[Budget Remaining]]&gt;5000,"Critical","Refill")))</f>
        <v>Critical</v>
      </c>
    </row>
    <row r="213" spans="1:13" x14ac:dyDescent="0.3">
      <c r="A213" t="s">
        <v>482</v>
      </c>
      <c r="B213" t="s">
        <v>105</v>
      </c>
      <c r="C213" t="s">
        <v>26</v>
      </c>
      <c r="D213" t="s">
        <v>113</v>
      </c>
      <c r="E213">
        <v>99421</v>
      </c>
      <c r="F213" t="s">
        <v>35</v>
      </c>
      <c r="G213" t="s">
        <v>2</v>
      </c>
      <c r="H213">
        <v>101821</v>
      </c>
      <c r="I213">
        <v>2400</v>
      </c>
      <c r="J213" t="s">
        <v>30</v>
      </c>
      <c r="K213" t="s">
        <v>481</v>
      </c>
      <c r="L213" t="str">
        <f t="shared" si="5"/>
        <v>2026</v>
      </c>
      <c r="M213" t="str">
        <f>IF(Table1[[#This Row],[Budget Remaining]]&gt;40000,"Safe",IF(Table1[[#This Row],[Budget Remaining]]&gt;20000,"Managed",IF(Table1[[#This Row],[Budget Remaining]]&gt;5000,"Critical","Refill")))</f>
        <v>Refill</v>
      </c>
    </row>
    <row r="214" spans="1:13" x14ac:dyDescent="0.3">
      <c r="A214" t="s">
        <v>480</v>
      </c>
      <c r="B214" t="s">
        <v>41</v>
      </c>
      <c r="C214" t="s">
        <v>41</v>
      </c>
      <c r="D214" t="s">
        <v>101</v>
      </c>
      <c r="E214">
        <v>47538</v>
      </c>
      <c r="F214" t="s">
        <v>3</v>
      </c>
      <c r="G214" t="s">
        <v>2</v>
      </c>
      <c r="H214">
        <v>48535</v>
      </c>
      <c r="I214">
        <v>997</v>
      </c>
      <c r="J214" t="s">
        <v>18</v>
      </c>
      <c r="K214" t="s">
        <v>479</v>
      </c>
      <c r="L214" t="str">
        <f t="shared" si="5"/>
        <v>2026</v>
      </c>
      <c r="M214" t="str">
        <f>IF(Table1[[#This Row],[Budget Remaining]]&gt;40000,"Safe",IF(Table1[[#This Row],[Budget Remaining]]&gt;20000,"Managed",IF(Table1[[#This Row],[Budget Remaining]]&gt;5000,"Critical","Refill")))</f>
        <v>Refill</v>
      </c>
    </row>
    <row r="215" spans="1:13" x14ac:dyDescent="0.3">
      <c r="A215" t="s">
        <v>478</v>
      </c>
      <c r="B215" t="s">
        <v>41</v>
      </c>
      <c r="C215" t="s">
        <v>32</v>
      </c>
      <c r="D215" t="s">
        <v>250</v>
      </c>
      <c r="E215">
        <v>2629</v>
      </c>
      <c r="F215" t="s">
        <v>19</v>
      </c>
      <c r="G215" t="s">
        <v>2</v>
      </c>
      <c r="H215">
        <v>3086</v>
      </c>
      <c r="I215">
        <v>457</v>
      </c>
      <c r="J215" t="s">
        <v>15</v>
      </c>
      <c r="K215" t="s">
        <v>477</v>
      </c>
      <c r="L215" t="str">
        <f t="shared" si="5"/>
        <v>2026</v>
      </c>
      <c r="M215" t="str">
        <f>IF(Table1[[#This Row],[Budget Remaining]]&gt;40000,"Safe",IF(Table1[[#This Row],[Budget Remaining]]&gt;20000,"Managed",IF(Table1[[#This Row],[Budget Remaining]]&gt;5000,"Critical","Refill")))</f>
        <v>Refill</v>
      </c>
    </row>
    <row r="216" spans="1:13" x14ac:dyDescent="0.3">
      <c r="A216" t="s">
        <v>476</v>
      </c>
      <c r="B216" t="s">
        <v>41</v>
      </c>
      <c r="C216" t="s">
        <v>26</v>
      </c>
      <c r="D216" t="s">
        <v>97</v>
      </c>
      <c r="E216">
        <v>68624</v>
      </c>
      <c r="F216" t="s">
        <v>10</v>
      </c>
      <c r="G216" t="s">
        <v>24</v>
      </c>
      <c r="H216">
        <v>99002</v>
      </c>
      <c r="I216">
        <v>30378</v>
      </c>
      <c r="J216" t="s">
        <v>67</v>
      </c>
      <c r="K216" t="s">
        <v>475</v>
      </c>
      <c r="L216" t="str">
        <f t="shared" si="5"/>
        <v>2026</v>
      </c>
      <c r="M216" t="str">
        <f>IF(Table1[[#This Row],[Budget Remaining]]&gt;40000,"Safe",IF(Table1[[#This Row],[Budget Remaining]]&gt;20000,"Managed",IF(Table1[[#This Row],[Budget Remaining]]&gt;5000,"Critical","Refill")))</f>
        <v>Managed</v>
      </c>
    </row>
    <row r="217" spans="1:13" x14ac:dyDescent="0.3">
      <c r="A217" t="s">
        <v>474</v>
      </c>
      <c r="B217" t="s">
        <v>41</v>
      </c>
      <c r="C217" t="s">
        <v>69</v>
      </c>
      <c r="D217" t="s">
        <v>94</v>
      </c>
      <c r="E217">
        <v>7620</v>
      </c>
      <c r="F217" t="s">
        <v>3</v>
      </c>
      <c r="G217" t="s">
        <v>2</v>
      </c>
      <c r="H217">
        <v>7986</v>
      </c>
      <c r="I217">
        <v>366</v>
      </c>
      <c r="J217" t="s">
        <v>51</v>
      </c>
      <c r="K217" t="s">
        <v>473</v>
      </c>
      <c r="L217" t="str">
        <f t="shared" si="5"/>
        <v>2026</v>
      </c>
      <c r="M217" t="str">
        <f>IF(Table1[[#This Row],[Budget Remaining]]&gt;40000,"Safe",IF(Table1[[#This Row],[Budget Remaining]]&gt;20000,"Managed",IF(Table1[[#This Row],[Budget Remaining]]&gt;5000,"Critical","Refill")))</f>
        <v>Refill</v>
      </c>
    </row>
    <row r="218" spans="1:13" x14ac:dyDescent="0.3">
      <c r="A218" t="s">
        <v>472</v>
      </c>
      <c r="B218" t="s">
        <v>41</v>
      </c>
      <c r="C218" t="s">
        <v>21</v>
      </c>
      <c r="D218" t="s">
        <v>255</v>
      </c>
      <c r="E218">
        <v>554</v>
      </c>
      <c r="F218" t="s">
        <v>19</v>
      </c>
      <c r="G218" t="s">
        <v>2</v>
      </c>
      <c r="H218">
        <v>689</v>
      </c>
      <c r="I218">
        <v>135</v>
      </c>
      <c r="J218" t="s">
        <v>100</v>
      </c>
      <c r="K218" t="s">
        <v>471</v>
      </c>
      <c r="L218" t="str">
        <f t="shared" si="5"/>
        <v>2026</v>
      </c>
      <c r="M218" t="str">
        <f>IF(Table1[[#This Row],[Budget Remaining]]&gt;40000,"Safe",IF(Table1[[#This Row],[Budget Remaining]]&gt;20000,"Managed",IF(Table1[[#This Row],[Budget Remaining]]&gt;5000,"Critical","Refill")))</f>
        <v>Refill</v>
      </c>
    </row>
    <row r="219" spans="1:13" x14ac:dyDescent="0.3">
      <c r="A219" t="s">
        <v>470</v>
      </c>
      <c r="B219" t="s">
        <v>80</v>
      </c>
      <c r="C219" s="1" t="s">
        <v>12</v>
      </c>
      <c r="D219" t="s">
        <v>312</v>
      </c>
      <c r="E219">
        <v>100956</v>
      </c>
      <c r="F219" t="s">
        <v>35</v>
      </c>
      <c r="G219" t="s">
        <v>2</v>
      </c>
      <c r="H219">
        <v>123410</v>
      </c>
      <c r="I219">
        <v>22454</v>
      </c>
      <c r="J219" t="s">
        <v>67</v>
      </c>
      <c r="K219" t="s">
        <v>469</v>
      </c>
      <c r="L219" t="str">
        <f t="shared" si="5"/>
        <v>2026</v>
      </c>
      <c r="M219" t="str">
        <f>IF(Table1[[#This Row],[Budget Remaining]]&gt;40000,"Safe",IF(Table1[[#This Row],[Budget Remaining]]&gt;20000,"Managed",IF(Table1[[#This Row],[Budget Remaining]]&gt;5000,"Critical","Refill")))</f>
        <v>Managed</v>
      </c>
    </row>
    <row r="220" spans="1:13" x14ac:dyDescent="0.3">
      <c r="A220" t="s">
        <v>468</v>
      </c>
      <c r="B220" t="s">
        <v>80</v>
      </c>
      <c r="C220" t="s">
        <v>26</v>
      </c>
      <c r="D220" t="s">
        <v>315</v>
      </c>
      <c r="E220">
        <v>123315</v>
      </c>
      <c r="F220" t="s">
        <v>3</v>
      </c>
      <c r="G220" t="s">
        <v>2</v>
      </c>
      <c r="H220">
        <v>153728</v>
      </c>
      <c r="I220">
        <v>30413</v>
      </c>
      <c r="J220" t="s">
        <v>67</v>
      </c>
      <c r="K220" t="s">
        <v>467</v>
      </c>
      <c r="L220" t="str">
        <f t="shared" si="5"/>
        <v>2026</v>
      </c>
      <c r="M220" t="str">
        <f>IF(Table1[[#This Row],[Budget Remaining]]&gt;40000,"Safe",IF(Table1[[#This Row],[Budget Remaining]]&gt;20000,"Managed",IF(Table1[[#This Row],[Budget Remaining]]&gt;5000,"Critical","Refill")))</f>
        <v>Managed</v>
      </c>
    </row>
    <row r="221" spans="1:13" x14ac:dyDescent="0.3">
      <c r="A221" t="s">
        <v>466</v>
      </c>
      <c r="B221" t="s">
        <v>80</v>
      </c>
      <c r="C221" t="s">
        <v>5</v>
      </c>
      <c r="D221" t="s">
        <v>235</v>
      </c>
      <c r="E221">
        <v>16577</v>
      </c>
      <c r="F221" t="s">
        <v>3</v>
      </c>
      <c r="G221" t="s">
        <v>24</v>
      </c>
      <c r="H221">
        <v>22606</v>
      </c>
      <c r="I221">
        <v>6029</v>
      </c>
      <c r="J221" t="s">
        <v>30</v>
      </c>
      <c r="K221" t="s">
        <v>465</v>
      </c>
      <c r="L221" t="str">
        <f t="shared" si="5"/>
        <v>2026</v>
      </c>
      <c r="M221" t="str">
        <f>IF(Table1[[#This Row],[Budget Remaining]]&gt;40000,"Safe",IF(Table1[[#This Row],[Budget Remaining]]&gt;20000,"Managed",IF(Table1[[#This Row],[Budget Remaining]]&gt;5000,"Critical","Refill")))</f>
        <v>Critical</v>
      </c>
    </row>
    <row r="222" spans="1:13" x14ac:dyDescent="0.3">
      <c r="A222" t="s">
        <v>464</v>
      </c>
      <c r="B222" t="s">
        <v>80</v>
      </c>
      <c r="C222" t="s">
        <v>26</v>
      </c>
      <c r="D222" t="s">
        <v>315</v>
      </c>
      <c r="E222">
        <v>175314</v>
      </c>
      <c r="F222" t="s">
        <v>19</v>
      </c>
      <c r="G222" t="s">
        <v>2</v>
      </c>
      <c r="H222">
        <v>239788</v>
      </c>
      <c r="I222">
        <v>64474</v>
      </c>
      <c r="J222" t="s">
        <v>1</v>
      </c>
      <c r="K222" t="s">
        <v>463</v>
      </c>
      <c r="L222" t="str">
        <f t="shared" si="5"/>
        <v>2026</v>
      </c>
      <c r="M222" t="str">
        <f>IF(Table1[[#This Row],[Budget Remaining]]&gt;40000,"Safe",IF(Table1[[#This Row],[Budget Remaining]]&gt;20000,"Managed",IF(Table1[[#This Row],[Budget Remaining]]&gt;5000,"Critical","Refill")))</f>
        <v>Safe</v>
      </c>
    </row>
    <row r="223" spans="1:13" x14ac:dyDescent="0.3">
      <c r="A223" t="s">
        <v>462</v>
      </c>
      <c r="B223" t="s">
        <v>80</v>
      </c>
      <c r="C223" t="s">
        <v>5</v>
      </c>
      <c r="D223" t="s">
        <v>235</v>
      </c>
      <c r="E223">
        <v>48209</v>
      </c>
      <c r="F223" t="s">
        <v>3</v>
      </c>
      <c r="G223" t="s">
        <v>24</v>
      </c>
      <c r="H223">
        <v>67353</v>
      </c>
      <c r="I223">
        <v>19144</v>
      </c>
      <c r="J223" t="s">
        <v>1</v>
      </c>
      <c r="K223" t="s">
        <v>461</v>
      </c>
      <c r="L223" t="str">
        <f t="shared" si="5"/>
        <v>2026</v>
      </c>
      <c r="M223" t="str">
        <f>IF(Table1[[#This Row],[Budget Remaining]]&gt;40000,"Safe",IF(Table1[[#This Row],[Budget Remaining]]&gt;20000,"Managed",IF(Table1[[#This Row],[Budget Remaining]]&gt;5000,"Critical","Refill")))</f>
        <v>Critical</v>
      </c>
    </row>
    <row r="224" spans="1:13" x14ac:dyDescent="0.3">
      <c r="A224" t="s">
        <v>460</v>
      </c>
      <c r="B224" t="s">
        <v>80</v>
      </c>
      <c r="C224" t="s">
        <v>37</v>
      </c>
      <c r="D224" t="s">
        <v>459</v>
      </c>
      <c r="E224">
        <v>37232</v>
      </c>
      <c r="F224" t="s">
        <v>3</v>
      </c>
      <c r="G224" t="s">
        <v>2</v>
      </c>
      <c r="H224">
        <v>39780</v>
      </c>
      <c r="I224">
        <v>2548</v>
      </c>
      <c r="J224" t="s">
        <v>15</v>
      </c>
      <c r="K224" t="s">
        <v>458</v>
      </c>
      <c r="L224" t="str">
        <f t="shared" si="5"/>
        <v>2026</v>
      </c>
      <c r="M224" t="str">
        <f>IF(Table1[[#This Row],[Budget Remaining]]&gt;40000,"Safe",IF(Table1[[#This Row],[Budget Remaining]]&gt;20000,"Managed",IF(Table1[[#This Row],[Budget Remaining]]&gt;5000,"Critical","Refill")))</f>
        <v>Refill</v>
      </c>
    </row>
    <row r="225" spans="1:13" x14ac:dyDescent="0.3">
      <c r="A225" t="s">
        <v>457</v>
      </c>
      <c r="B225" t="s">
        <v>80</v>
      </c>
      <c r="C225" t="s">
        <v>41</v>
      </c>
      <c r="D225" t="s">
        <v>230</v>
      </c>
      <c r="E225">
        <v>137010</v>
      </c>
      <c r="F225" t="s">
        <v>35</v>
      </c>
      <c r="G225" t="s">
        <v>2</v>
      </c>
      <c r="H225">
        <v>192764</v>
      </c>
      <c r="I225">
        <v>55754</v>
      </c>
      <c r="J225" t="s">
        <v>9</v>
      </c>
      <c r="K225" t="s">
        <v>456</v>
      </c>
      <c r="L225" t="str">
        <f t="shared" si="5"/>
        <v>2026</v>
      </c>
      <c r="M225" t="str">
        <f>IF(Table1[[#This Row],[Budget Remaining]]&gt;40000,"Safe",IF(Table1[[#This Row],[Budget Remaining]]&gt;20000,"Managed",IF(Table1[[#This Row],[Budget Remaining]]&gt;5000,"Critical","Refill")))</f>
        <v>Safe</v>
      </c>
    </row>
    <row r="226" spans="1:13" x14ac:dyDescent="0.3">
      <c r="A226" t="s">
        <v>455</v>
      </c>
      <c r="B226" t="s">
        <v>55</v>
      </c>
      <c r="C226" t="s">
        <v>5</v>
      </c>
      <c r="D226" t="s">
        <v>74</v>
      </c>
      <c r="E226">
        <v>35836</v>
      </c>
      <c r="F226" t="s">
        <v>3</v>
      </c>
      <c r="G226" t="s">
        <v>2</v>
      </c>
      <c r="H226">
        <v>51195</v>
      </c>
      <c r="I226">
        <v>15359</v>
      </c>
      <c r="J226" t="s">
        <v>83</v>
      </c>
      <c r="K226" t="s">
        <v>454</v>
      </c>
      <c r="L226" t="str">
        <f t="shared" si="5"/>
        <v>2026</v>
      </c>
      <c r="M226" t="str">
        <f>IF(Table1[[#This Row],[Budget Remaining]]&gt;40000,"Safe",IF(Table1[[#This Row],[Budget Remaining]]&gt;20000,"Managed",IF(Table1[[#This Row],[Budget Remaining]]&gt;5000,"Critical","Refill")))</f>
        <v>Critical</v>
      </c>
    </row>
    <row r="227" spans="1:13" x14ac:dyDescent="0.3">
      <c r="A227" t="s">
        <v>453</v>
      </c>
      <c r="B227" t="s">
        <v>55</v>
      </c>
      <c r="C227" t="s">
        <v>26</v>
      </c>
      <c r="D227" t="s">
        <v>61</v>
      </c>
      <c r="E227">
        <v>156207</v>
      </c>
      <c r="F227" t="s">
        <v>3</v>
      </c>
      <c r="G227" t="s">
        <v>2</v>
      </c>
      <c r="H227">
        <v>203945</v>
      </c>
      <c r="I227">
        <v>47738</v>
      </c>
      <c r="J227" t="s">
        <v>83</v>
      </c>
      <c r="K227" t="s">
        <v>452</v>
      </c>
      <c r="L227" t="str">
        <f t="shared" si="5"/>
        <v>2026</v>
      </c>
      <c r="M227" t="str">
        <f>IF(Table1[[#This Row],[Budget Remaining]]&gt;40000,"Safe",IF(Table1[[#This Row],[Budget Remaining]]&gt;20000,"Managed",IF(Table1[[#This Row],[Budget Remaining]]&gt;5000,"Critical","Refill")))</f>
        <v>Safe</v>
      </c>
    </row>
    <row r="228" spans="1:13" x14ac:dyDescent="0.3">
      <c r="A228" t="s">
        <v>451</v>
      </c>
      <c r="B228" t="s">
        <v>55</v>
      </c>
      <c r="C228" s="1" t="s">
        <v>12</v>
      </c>
      <c r="D228" t="s">
        <v>153</v>
      </c>
      <c r="E228">
        <v>87709</v>
      </c>
      <c r="F228" t="s">
        <v>10</v>
      </c>
      <c r="G228" t="s">
        <v>2</v>
      </c>
      <c r="H228">
        <v>113316</v>
      </c>
      <c r="I228">
        <v>25607</v>
      </c>
      <c r="J228" t="s">
        <v>18</v>
      </c>
      <c r="K228" t="s">
        <v>450</v>
      </c>
      <c r="L228" t="str">
        <f t="shared" si="5"/>
        <v>2026</v>
      </c>
      <c r="M228" t="str">
        <f>IF(Table1[[#This Row],[Budget Remaining]]&gt;40000,"Safe",IF(Table1[[#This Row],[Budget Remaining]]&gt;20000,"Managed",IF(Table1[[#This Row],[Budget Remaining]]&gt;5000,"Critical","Refill")))</f>
        <v>Managed</v>
      </c>
    </row>
    <row r="229" spans="1:13" x14ac:dyDescent="0.3">
      <c r="A229" t="s">
        <v>449</v>
      </c>
      <c r="B229" t="s">
        <v>55</v>
      </c>
      <c r="C229" t="s">
        <v>41</v>
      </c>
      <c r="D229" t="s">
        <v>58</v>
      </c>
      <c r="E229">
        <v>88669</v>
      </c>
      <c r="F229" t="s">
        <v>35</v>
      </c>
      <c r="G229" t="s">
        <v>2</v>
      </c>
      <c r="H229">
        <v>125941</v>
      </c>
      <c r="I229">
        <v>37272</v>
      </c>
      <c r="J229" t="s">
        <v>83</v>
      </c>
      <c r="K229" t="s">
        <v>448</v>
      </c>
      <c r="L229" t="str">
        <f t="shared" si="5"/>
        <v>2026</v>
      </c>
      <c r="M229" t="str">
        <f>IF(Table1[[#This Row],[Budget Remaining]]&gt;40000,"Safe",IF(Table1[[#This Row],[Budget Remaining]]&gt;20000,"Managed",IF(Table1[[#This Row],[Budget Remaining]]&gt;5000,"Critical","Refill")))</f>
        <v>Managed</v>
      </c>
    </row>
    <row r="230" spans="1:13" x14ac:dyDescent="0.3">
      <c r="A230" t="s">
        <v>447</v>
      </c>
      <c r="B230" t="s">
        <v>55</v>
      </c>
      <c r="C230" t="s">
        <v>32</v>
      </c>
      <c r="D230" t="s">
        <v>64</v>
      </c>
      <c r="E230">
        <v>9903</v>
      </c>
      <c r="F230" t="s">
        <v>3</v>
      </c>
      <c r="G230" t="s">
        <v>2</v>
      </c>
      <c r="H230">
        <v>12284</v>
      </c>
      <c r="I230">
        <v>2381</v>
      </c>
      <c r="J230" t="s">
        <v>15</v>
      </c>
      <c r="K230" t="s">
        <v>446</v>
      </c>
      <c r="L230" t="str">
        <f t="shared" si="5"/>
        <v>2026</v>
      </c>
      <c r="M230" t="str">
        <f>IF(Table1[[#This Row],[Budget Remaining]]&gt;40000,"Safe",IF(Table1[[#This Row],[Budget Remaining]]&gt;20000,"Managed",IF(Table1[[#This Row],[Budget Remaining]]&gt;5000,"Critical","Refill")))</f>
        <v>Refill</v>
      </c>
    </row>
    <row r="231" spans="1:13" x14ac:dyDescent="0.3">
      <c r="A231" t="s">
        <v>445</v>
      </c>
      <c r="B231" t="s">
        <v>55</v>
      </c>
      <c r="C231" t="s">
        <v>26</v>
      </c>
      <c r="D231" t="s">
        <v>61</v>
      </c>
      <c r="E231">
        <v>95300</v>
      </c>
      <c r="F231" t="s">
        <v>19</v>
      </c>
      <c r="G231" t="s">
        <v>2</v>
      </c>
      <c r="H231">
        <v>107088</v>
      </c>
      <c r="I231">
        <v>11788</v>
      </c>
      <c r="J231" t="s">
        <v>44</v>
      </c>
      <c r="K231" t="s">
        <v>444</v>
      </c>
      <c r="L231" t="str">
        <f t="shared" si="5"/>
        <v>2026</v>
      </c>
      <c r="M231" t="str">
        <f>IF(Table1[[#This Row],[Budget Remaining]]&gt;40000,"Safe",IF(Table1[[#This Row],[Budget Remaining]]&gt;20000,"Managed",IF(Table1[[#This Row],[Budget Remaining]]&gt;5000,"Critical","Refill")))</f>
        <v>Critical</v>
      </c>
    </row>
    <row r="232" spans="1:13" x14ac:dyDescent="0.3">
      <c r="A232" t="s">
        <v>443</v>
      </c>
      <c r="B232" t="s">
        <v>55</v>
      </c>
      <c r="C232" t="s">
        <v>5</v>
      </c>
      <c r="D232" t="s">
        <v>74</v>
      </c>
      <c r="E232">
        <v>24778</v>
      </c>
      <c r="F232" t="s">
        <v>3</v>
      </c>
      <c r="G232" t="s">
        <v>2</v>
      </c>
      <c r="H232">
        <v>33413</v>
      </c>
      <c r="I232">
        <v>8635</v>
      </c>
      <c r="J232" t="s">
        <v>44</v>
      </c>
      <c r="K232" t="s">
        <v>442</v>
      </c>
      <c r="L232" t="str">
        <f t="shared" si="5"/>
        <v>2026</v>
      </c>
      <c r="M232" t="str">
        <f>IF(Table1[[#This Row],[Budget Remaining]]&gt;40000,"Safe",IF(Table1[[#This Row],[Budget Remaining]]&gt;20000,"Managed",IF(Table1[[#This Row],[Budget Remaining]]&gt;5000,"Critical","Refill")))</f>
        <v>Critical</v>
      </c>
    </row>
    <row r="233" spans="1:13" x14ac:dyDescent="0.3">
      <c r="A233" t="s">
        <v>441</v>
      </c>
      <c r="B233" t="s">
        <v>55</v>
      </c>
      <c r="C233" s="1" t="s">
        <v>12</v>
      </c>
      <c r="D233" t="s">
        <v>153</v>
      </c>
      <c r="E233">
        <v>95075</v>
      </c>
      <c r="F233" t="s">
        <v>10</v>
      </c>
      <c r="G233" t="s">
        <v>24</v>
      </c>
      <c r="H233">
        <v>106240</v>
      </c>
      <c r="I233">
        <v>11165</v>
      </c>
      <c r="J233" t="s">
        <v>100</v>
      </c>
      <c r="K233" t="s">
        <v>440</v>
      </c>
      <c r="L233" t="str">
        <f t="shared" si="5"/>
        <v>2026</v>
      </c>
      <c r="M233" t="str">
        <f>IF(Table1[[#This Row],[Budget Remaining]]&gt;40000,"Safe",IF(Table1[[#This Row],[Budget Remaining]]&gt;20000,"Managed",IF(Table1[[#This Row],[Budget Remaining]]&gt;5000,"Critical","Refill")))</f>
        <v>Critical</v>
      </c>
    </row>
    <row r="234" spans="1:13" x14ac:dyDescent="0.3">
      <c r="A234" t="s">
        <v>439</v>
      </c>
      <c r="B234" t="s">
        <v>27</v>
      </c>
      <c r="C234" t="s">
        <v>32</v>
      </c>
      <c r="D234" t="s">
        <v>31</v>
      </c>
      <c r="E234">
        <v>5286</v>
      </c>
      <c r="F234" t="s">
        <v>35</v>
      </c>
      <c r="G234" t="s">
        <v>2</v>
      </c>
      <c r="H234">
        <v>7070</v>
      </c>
      <c r="I234">
        <v>1784</v>
      </c>
      <c r="J234" t="s">
        <v>83</v>
      </c>
      <c r="K234" t="s">
        <v>438</v>
      </c>
      <c r="L234" t="str">
        <f t="shared" si="5"/>
        <v>2026</v>
      </c>
      <c r="M234" t="str">
        <f>IF(Table1[[#This Row],[Budget Remaining]]&gt;40000,"Safe",IF(Table1[[#This Row],[Budget Remaining]]&gt;20000,"Managed",IF(Table1[[#This Row],[Budget Remaining]]&gt;5000,"Critical","Refill")))</f>
        <v>Refill</v>
      </c>
    </row>
    <row r="235" spans="1:13" x14ac:dyDescent="0.3">
      <c r="A235" t="s">
        <v>437</v>
      </c>
      <c r="B235" t="s">
        <v>27</v>
      </c>
      <c r="C235" t="s">
        <v>69</v>
      </c>
      <c r="D235" t="s">
        <v>368</v>
      </c>
      <c r="E235">
        <v>4790</v>
      </c>
      <c r="F235" t="s">
        <v>3</v>
      </c>
      <c r="G235" t="s">
        <v>2</v>
      </c>
      <c r="H235">
        <v>5433</v>
      </c>
      <c r="I235">
        <v>643</v>
      </c>
      <c r="J235" t="s">
        <v>1</v>
      </c>
      <c r="K235" t="s">
        <v>436</v>
      </c>
      <c r="L235" t="str">
        <f t="shared" si="5"/>
        <v>2026</v>
      </c>
      <c r="M235" t="str">
        <f>IF(Table1[[#This Row],[Budget Remaining]]&gt;40000,"Safe",IF(Table1[[#This Row],[Budget Remaining]]&gt;20000,"Managed",IF(Table1[[#This Row],[Budget Remaining]]&gt;5000,"Critical","Refill")))</f>
        <v>Refill</v>
      </c>
    </row>
    <row r="236" spans="1:13" x14ac:dyDescent="0.3">
      <c r="A236" t="s">
        <v>435</v>
      </c>
      <c r="B236" t="s">
        <v>27</v>
      </c>
      <c r="C236" t="s">
        <v>26</v>
      </c>
      <c r="D236" t="s">
        <v>25</v>
      </c>
      <c r="E236">
        <v>117429</v>
      </c>
      <c r="F236" t="s">
        <v>3</v>
      </c>
      <c r="G236" t="s">
        <v>2</v>
      </c>
      <c r="H236">
        <v>130423</v>
      </c>
      <c r="I236">
        <v>12994</v>
      </c>
      <c r="J236" t="s">
        <v>51</v>
      </c>
      <c r="K236" t="s">
        <v>434</v>
      </c>
      <c r="L236" t="str">
        <f t="shared" si="5"/>
        <v>2026</v>
      </c>
      <c r="M236" t="str">
        <f>IF(Table1[[#This Row],[Budget Remaining]]&gt;40000,"Safe",IF(Table1[[#This Row],[Budget Remaining]]&gt;20000,"Managed",IF(Table1[[#This Row],[Budget Remaining]]&gt;5000,"Critical","Refill")))</f>
        <v>Critical</v>
      </c>
    </row>
    <row r="237" spans="1:13" x14ac:dyDescent="0.3">
      <c r="A237" t="s">
        <v>433</v>
      </c>
      <c r="B237" s="1" t="s">
        <v>6</v>
      </c>
      <c r="C237" t="s">
        <v>41</v>
      </c>
      <c r="D237" t="s">
        <v>132</v>
      </c>
      <c r="E237">
        <v>15221</v>
      </c>
      <c r="F237" t="s">
        <v>35</v>
      </c>
      <c r="G237" t="s">
        <v>2</v>
      </c>
      <c r="H237">
        <v>22453</v>
      </c>
      <c r="I237">
        <v>7232</v>
      </c>
      <c r="J237" t="s">
        <v>30</v>
      </c>
      <c r="K237" t="s">
        <v>432</v>
      </c>
      <c r="L237" t="str">
        <f t="shared" si="5"/>
        <v>2026</v>
      </c>
      <c r="M237" t="str">
        <f>IF(Table1[[#This Row],[Budget Remaining]]&gt;40000,"Safe",IF(Table1[[#This Row],[Budget Remaining]]&gt;20000,"Managed",IF(Table1[[#This Row],[Budget Remaining]]&gt;5000,"Critical","Refill")))</f>
        <v>Critical</v>
      </c>
    </row>
    <row r="238" spans="1:13" x14ac:dyDescent="0.3">
      <c r="A238" t="s">
        <v>431</v>
      </c>
      <c r="B238" s="1" t="s">
        <v>6</v>
      </c>
      <c r="C238" t="s">
        <v>5</v>
      </c>
      <c r="D238" t="s">
        <v>4</v>
      </c>
      <c r="E238">
        <v>44921</v>
      </c>
      <c r="F238" t="s">
        <v>10</v>
      </c>
      <c r="G238" t="s">
        <v>24</v>
      </c>
      <c r="H238">
        <v>46026</v>
      </c>
      <c r="I238">
        <v>1105</v>
      </c>
      <c r="J238" t="s">
        <v>100</v>
      </c>
      <c r="K238" t="s">
        <v>430</v>
      </c>
      <c r="L238" t="str">
        <f t="shared" si="5"/>
        <v>2026</v>
      </c>
      <c r="M238" t="str">
        <f>IF(Table1[[#This Row],[Budget Remaining]]&gt;40000,"Safe",IF(Table1[[#This Row],[Budget Remaining]]&gt;20000,"Managed",IF(Table1[[#This Row],[Budget Remaining]]&gt;5000,"Critical","Refill")))</f>
        <v>Refill</v>
      </c>
    </row>
    <row r="239" spans="1:13" x14ac:dyDescent="0.3">
      <c r="A239" t="s">
        <v>429</v>
      </c>
      <c r="B239" s="1" t="s">
        <v>6</v>
      </c>
      <c r="C239" s="1" t="s">
        <v>12</v>
      </c>
      <c r="D239" t="s">
        <v>11</v>
      </c>
      <c r="E239">
        <v>117685</v>
      </c>
      <c r="F239" t="s">
        <v>3</v>
      </c>
      <c r="G239" t="s">
        <v>2</v>
      </c>
      <c r="H239">
        <v>159923</v>
      </c>
      <c r="I239">
        <v>42238</v>
      </c>
      <c r="J239" t="s">
        <v>30</v>
      </c>
      <c r="K239" t="s">
        <v>428</v>
      </c>
      <c r="L239" t="str">
        <f t="shared" si="5"/>
        <v>2026</v>
      </c>
      <c r="M239" t="str">
        <f>IF(Table1[[#This Row],[Budget Remaining]]&gt;40000,"Safe",IF(Table1[[#This Row],[Budget Remaining]]&gt;20000,"Managed",IF(Table1[[#This Row],[Budget Remaining]]&gt;5000,"Critical","Refill")))</f>
        <v>Safe</v>
      </c>
    </row>
    <row r="240" spans="1:13" x14ac:dyDescent="0.3">
      <c r="A240" t="s">
        <v>427</v>
      </c>
      <c r="B240" s="1" t="s">
        <v>6</v>
      </c>
      <c r="C240" t="s">
        <v>21</v>
      </c>
      <c r="D240" t="s">
        <v>20</v>
      </c>
      <c r="E240">
        <v>5029</v>
      </c>
      <c r="F240" t="s">
        <v>19</v>
      </c>
      <c r="G240" t="s">
        <v>2</v>
      </c>
      <c r="H240">
        <v>6873</v>
      </c>
      <c r="I240">
        <v>1844</v>
      </c>
      <c r="J240" t="s">
        <v>18</v>
      </c>
      <c r="K240" t="s">
        <v>426</v>
      </c>
      <c r="L240" t="str">
        <f t="shared" si="5"/>
        <v>2026</v>
      </c>
      <c r="M240" t="str">
        <f>IF(Table1[[#This Row],[Budget Remaining]]&gt;40000,"Safe",IF(Table1[[#This Row],[Budget Remaining]]&gt;20000,"Managed",IF(Table1[[#This Row],[Budget Remaining]]&gt;5000,"Critical","Refill")))</f>
        <v>Refill</v>
      </c>
    </row>
    <row r="241" spans="1:13" x14ac:dyDescent="0.3">
      <c r="A241" t="s">
        <v>425</v>
      </c>
      <c r="B241" s="1" t="s">
        <v>6</v>
      </c>
      <c r="C241" s="1" t="s">
        <v>12</v>
      </c>
      <c r="D241" t="s">
        <v>11</v>
      </c>
      <c r="E241">
        <v>108722</v>
      </c>
      <c r="F241" t="s">
        <v>10</v>
      </c>
      <c r="G241" t="s">
        <v>2</v>
      </c>
      <c r="H241">
        <v>135082</v>
      </c>
      <c r="I241">
        <v>26360</v>
      </c>
      <c r="J241" t="s">
        <v>1</v>
      </c>
      <c r="K241" t="s">
        <v>424</v>
      </c>
      <c r="L241" t="str">
        <f t="shared" si="5"/>
        <v>2026</v>
      </c>
      <c r="M241" t="str">
        <f>IF(Table1[[#This Row],[Budget Remaining]]&gt;40000,"Safe",IF(Table1[[#This Row],[Budget Remaining]]&gt;20000,"Managed",IF(Table1[[#This Row],[Budget Remaining]]&gt;5000,"Critical","Refill")))</f>
        <v>Managed</v>
      </c>
    </row>
    <row r="242" spans="1:13" x14ac:dyDescent="0.3">
      <c r="A242" t="s">
        <v>423</v>
      </c>
      <c r="B242" t="s">
        <v>105</v>
      </c>
      <c r="C242" t="s">
        <v>21</v>
      </c>
      <c r="D242" t="s">
        <v>104</v>
      </c>
      <c r="E242">
        <v>776</v>
      </c>
      <c r="F242" t="s">
        <v>35</v>
      </c>
      <c r="G242" t="s">
        <v>2</v>
      </c>
      <c r="H242">
        <v>882</v>
      </c>
      <c r="I242">
        <v>106</v>
      </c>
      <c r="J242" t="s">
        <v>9</v>
      </c>
      <c r="K242" t="s">
        <v>422</v>
      </c>
      <c r="L242" t="str">
        <f t="shared" si="5"/>
        <v>2026</v>
      </c>
      <c r="M242" t="str">
        <f>IF(Table1[[#This Row],[Budget Remaining]]&gt;40000,"Safe",IF(Table1[[#This Row],[Budget Remaining]]&gt;20000,"Managed",IF(Table1[[#This Row],[Budget Remaining]]&gt;5000,"Critical","Refill")))</f>
        <v>Refill</v>
      </c>
    </row>
    <row r="243" spans="1:13" x14ac:dyDescent="0.3">
      <c r="A243" t="s">
        <v>421</v>
      </c>
      <c r="B243" t="s">
        <v>105</v>
      </c>
      <c r="C243" t="s">
        <v>5</v>
      </c>
      <c r="D243" t="s">
        <v>194</v>
      </c>
      <c r="E243">
        <v>7015</v>
      </c>
      <c r="F243" t="s">
        <v>35</v>
      </c>
      <c r="G243" t="s">
        <v>2</v>
      </c>
      <c r="H243">
        <v>7274</v>
      </c>
      <c r="I243">
        <v>259</v>
      </c>
      <c r="J243" t="s">
        <v>1</v>
      </c>
      <c r="K243" t="s">
        <v>420</v>
      </c>
      <c r="L243" t="str">
        <f t="shared" si="5"/>
        <v>2026</v>
      </c>
      <c r="M243" t="str">
        <f>IF(Table1[[#This Row],[Budget Remaining]]&gt;40000,"Safe",IF(Table1[[#This Row],[Budget Remaining]]&gt;20000,"Managed",IF(Table1[[#This Row],[Budget Remaining]]&gt;5000,"Critical","Refill")))</f>
        <v>Refill</v>
      </c>
    </row>
    <row r="244" spans="1:13" x14ac:dyDescent="0.3">
      <c r="A244" t="s">
        <v>419</v>
      </c>
      <c r="B244" t="s">
        <v>105</v>
      </c>
      <c r="C244" t="s">
        <v>41</v>
      </c>
      <c r="D244" t="s">
        <v>340</v>
      </c>
      <c r="E244">
        <v>35049</v>
      </c>
      <c r="F244" t="s">
        <v>35</v>
      </c>
      <c r="G244" t="s">
        <v>2</v>
      </c>
      <c r="H244">
        <v>47945</v>
      </c>
      <c r="I244">
        <v>12896</v>
      </c>
      <c r="J244" t="s">
        <v>51</v>
      </c>
      <c r="K244" t="s">
        <v>418</v>
      </c>
      <c r="L244" t="str">
        <f t="shared" si="5"/>
        <v>2026</v>
      </c>
      <c r="M244" t="str">
        <f>IF(Table1[[#This Row],[Budget Remaining]]&gt;40000,"Safe",IF(Table1[[#This Row],[Budget Remaining]]&gt;20000,"Managed",IF(Table1[[#This Row],[Budget Remaining]]&gt;5000,"Critical","Refill")))</f>
        <v>Critical</v>
      </c>
    </row>
    <row r="245" spans="1:13" x14ac:dyDescent="0.3">
      <c r="A245" t="s">
        <v>417</v>
      </c>
      <c r="B245" t="s">
        <v>105</v>
      </c>
      <c r="C245" t="s">
        <v>32</v>
      </c>
      <c r="D245" t="s">
        <v>110</v>
      </c>
      <c r="E245">
        <v>7965</v>
      </c>
      <c r="F245" t="s">
        <v>10</v>
      </c>
      <c r="G245" t="s">
        <v>2</v>
      </c>
      <c r="H245">
        <v>10005</v>
      </c>
      <c r="I245">
        <v>2040</v>
      </c>
      <c r="J245" t="s">
        <v>44</v>
      </c>
      <c r="K245" t="s">
        <v>416</v>
      </c>
      <c r="L245" t="str">
        <f t="shared" si="5"/>
        <v>2026</v>
      </c>
      <c r="M245" t="str">
        <f>IF(Table1[[#This Row],[Budget Remaining]]&gt;40000,"Safe",IF(Table1[[#This Row],[Budget Remaining]]&gt;20000,"Managed",IF(Table1[[#This Row],[Budget Remaining]]&gt;5000,"Critical","Refill")))</f>
        <v>Refill</v>
      </c>
    </row>
    <row r="246" spans="1:13" x14ac:dyDescent="0.3">
      <c r="A246" t="s">
        <v>415</v>
      </c>
      <c r="B246" t="s">
        <v>105</v>
      </c>
      <c r="C246" t="s">
        <v>5</v>
      </c>
      <c r="D246" t="s">
        <v>194</v>
      </c>
      <c r="E246">
        <v>19319</v>
      </c>
      <c r="F246" t="s">
        <v>35</v>
      </c>
      <c r="G246" t="s">
        <v>2</v>
      </c>
      <c r="H246">
        <v>28682</v>
      </c>
      <c r="I246">
        <v>9363</v>
      </c>
      <c r="J246" t="s">
        <v>15</v>
      </c>
      <c r="K246" t="s">
        <v>414</v>
      </c>
      <c r="L246" t="str">
        <f>SUBSTITUTE(2024,1,1)</f>
        <v>2024</v>
      </c>
      <c r="M246" t="str">
        <f>IF(Table1[[#This Row],[Budget Remaining]]&gt;40000,"Safe",IF(Table1[[#This Row],[Budget Remaining]]&gt;20000,"Managed",IF(Table1[[#This Row],[Budget Remaining]]&gt;5000,"Critical","Refill")))</f>
        <v>Critical</v>
      </c>
    </row>
    <row r="247" spans="1:13" x14ac:dyDescent="0.3">
      <c r="A247" t="s">
        <v>413</v>
      </c>
      <c r="B247" t="s">
        <v>105</v>
      </c>
      <c r="C247" t="s">
        <v>5</v>
      </c>
      <c r="D247" t="s">
        <v>194</v>
      </c>
      <c r="E247">
        <v>16565</v>
      </c>
      <c r="F247" t="s">
        <v>10</v>
      </c>
      <c r="G247" t="s">
        <v>2</v>
      </c>
      <c r="H247">
        <v>24573</v>
      </c>
      <c r="I247">
        <v>8008</v>
      </c>
      <c r="J247" t="s">
        <v>15</v>
      </c>
      <c r="K247" t="s">
        <v>412</v>
      </c>
      <c r="L247" t="str">
        <f t="shared" ref="L247:L260" si="6">SUBSTITUTE(2024,1,1)</f>
        <v>2024</v>
      </c>
      <c r="M247" t="str">
        <f>IF(Table1[[#This Row],[Budget Remaining]]&gt;40000,"Safe",IF(Table1[[#This Row],[Budget Remaining]]&gt;20000,"Managed",IF(Table1[[#This Row],[Budget Remaining]]&gt;5000,"Critical","Refill")))</f>
        <v>Critical</v>
      </c>
    </row>
    <row r="248" spans="1:13" x14ac:dyDescent="0.3">
      <c r="A248" t="s">
        <v>411</v>
      </c>
      <c r="B248" t="s">
        <v>105</v>
      </c>
      <c r="C248" t="s">
        <v>21</v>
      </c>
      <c r="D248" t="s">
        <v>104</v>
      </c>
      <c r="E248">
        <v>3632</v>
      </c>
      <c r="F248" t="s">
        <v>35</v>
      </c>
      <c r="G248" t="s">
        <v>2</v>
      </c>
      <c r="H248">
        <v>3663</v>
      </c>
      <c r="I248">
        <v>31</v>
      </c>
      <c r="J248" t="s">
        <v>18</v>
      </c>
      <c r="K248" t="s">
        <v>410</v>
      </c>
      <c r="L248" t="str">
        <f t="shared" si="6"/>
        <v>2024</v>
      </c>
      <c r="M248" t="str">
        <f>IF(Table1[[#This Row],[Budget Remaining]]&gt;40000,"Safe",IF(Table1[[#This Row],[Budget Remaining]]&gt;20000,"Managed",IF(Table1[[#This Row],[Budget Remaining]]&gt;5000,"Critical","Refill")))</f>
        <v>Refill</v>
      </c>
    </row>
    <row r="249" spans="1:13" x14ac:dyDescent="0.3">
      <c r="A249" t="s">
        <v>409</v>
      </c>
      <c r="B249" t="s">
        <v>105</v>
      </c>
      <c r="C249" t="s">
        <v>26</v>
      </c>
      <c r="D249" t="s">
        <v>113</v>
      </c>
      <c r="E249">
        <v>68736</v>
      </c>
      <c r="F249" t="s">
        <v>35</v>
      </c>
      <c r="G249" t="s">
        <v>2</v>
      </c>
      <c r="H249">
        <v>88597</v>
      </c>
      <c r="I249">
        <v>19861</v>
      </c>
      <c r="J249" t="s">
        <v>44</v>
      </c>
      <c r="K249" t="s">
        <v>408</v>
      </c>
      <c r="L249" t="str">
        <f t="shared" si="6"/>
        <v>2024</v>
      </c>
      <c r="M249" t="str">
        <f>IF(Table1[[#This Row],[Budget Remaining]]&gt;40000,"Safe",IF(Table1[[#This Row],[Budget Remaining]]&gt;20000,"Managed",IF(Table1[[#This Row],[Budget Remaining]]&gt;5000,"Critical","Refill")))</f>
        <v>Critical</v>
      </c>
    </row>
    <row r="250" spans="1:13" x14ac:dyDescent="0.3">
      <c r="A250" t="s">
        <v>407</v>
      </c>
      <c r="B250" t="s">
        <v>41</v>
      </c>
      <c r="C250" t="s">
        <v>5</v>
      </c>
      <c r="D250" t="s">
        <v>175</v>
      </c>
      <c r="E250">
        <v>44127</v>
      </c>
      <c r="F250" t="s">
        <v>19</v>
      </c>
      <c r="G250" t="s">
        <v>2</v>
      </c>
      <c r="H250">
        <v>50980</v>
      </c>
      <c r="I250">
        <v>6853</v>
      </c>
      <c r="J250" t="s">
        <v>18</v>
      </c>
      <c r="K250" t="s">
        <v>406</v>
      </c>
      <c r="L250" t="str">
        <f t="shared" si="6"/>
        <v>2024</v>
      </c>
      <c r="M250" t="str">
        <f>IF(Table1[[#This Row],[Budget Remaining]]&gt;40000,"Safe",IF(Table1[[#This Row],[Budget Remaining]]&gt;20000,"Managed",IF(Table1[[#This Row],[Budget Remaining]]&gt;5000,"Critical","Refill")))</f>
        <v>Critical</v>
      </c>
    </row>
    <row r="251" spans="1:13" x14ac:dyDescent="0.3">
      <c r="A251" t="s">
        <v>405</v>
      </c>
      <c r="B251" t="s">
        <v>41</v>
      </c>
      <c r="C251" t="s">
        <v>21</v>
      </c>
      <c r="D251" t="s">
        <v>255</v>
      </c>
      <c r="E251">
        <v>7584</v>
      </c>
      <c r="F251" t="s">
        <v>3</v>
      </c>
      <c r="G251" t="s">
        <v>2</v>
      </c>
      <c r="H251">
        <v>11156</v>
      </c>
      <c r="I251">
        <v>3572</v>
      </c>
      <c r="J251" t="s">
        <v>9</v>
      </c>
      <c r="K251" t="s">
        <v>404</v>
      </c>
      <c r="L251" t="str">
        <f t="shared" si="6"/>
        <v>2024</v>
      </c>
      <c r="M251" t="str">
        <f>IF(Table1[[#This Row],[Budget Remaining]]&gt;40000,"Safe",IF(Table1[[#This Row],[Budget Remaining]]&gt;20000,"Managed",IF(Table1[[#This Row],[Budget Remaining]]&gt;5000,"Critical","Refill")))</f>
        <v>Refill</v>
      </c>
    </row>
    <row r="252" spans="1:13" x14ac:dyDescent="0.3">
      <c r="A252" t="s">
        <v>403</v>
      </c>
      <c r="B252" t="s">
        <v>41</v>
      </c>
      <c r="C252" t="s">
        <v>26</v>
      </c>
      <c r="D252" t="s">
        <v>97</v>
      </c>
      <c r="E252">
        <v>147207</v>
      </c>
      <c r="F252" t="s">
        <v>3</v>
      </c>
      <c r="G252" t="s">
        <v>2</v>
      </c>
      <c r="H252">
        <v>200425</v>
      </c>
      <c r="I252">
        <v>53218</v>
      </c>
      <c r="J252" t="s">
        <v>44</v>
      </c>
      <c r="K252" t="s">
        <v>402</v>
      </c>
      <c r="L252" t="str">
        <f t="shared" si="6"/>
        <v>2024</v>
      </c>
      <c r="M252" t="str">
        <f>IF(Table1[[#This Row],[Budget Remaining]]&gt;40000,"Safe",IF(Table1[[#This Row],[Budget Remaining]]&gt;20000,"Managed",IF(Table1[[#This Row],[Budget Remaining]]&gt;5000,"Critical","Refill")))</f>
        <v>Safe</v>
      </c>
    </row>
    <row r="253" spans="1:13" x14ac:dyDescent="0.3">
      <c r="A253" t="s">
        <v>401</v>
      </c>
      <c r="B253" t="s">
        <v>41</v>
      </c>
      <c r="C253" s="1" t="s">
        <v>12</v>
      </c>
      <c r="D253" t="s">
        <v>91</v>
      </c>
      <c r="E253">
        <v>45823</v>
      </c>
      <c r="F253" t="s">
        <v>3</v>
      </c>
      <c r="G253" t="s">
        <v>2</v>
      </c>
      <c r="H253">
        <v>62789</v>
      </c>
      <c r="I253">
        <v>16966</v>
      </c>
      <c r="J253" t="s">
        <v>30</v>
      </c>
      <c r="K253" t="s">
        <v>400</v>
      </c>
      <c r="L253" t="str">
        <f t="shared" si="6"/>
        <v>2024</v>
      </c>
      <c r="M253" t="str">
        <f>IF(Table1[[#This Row],[Budget Remaining]]&gt;40000,"Safe",IF(Table1[[#This Row],[Budget Remaining]]&gt;20000,"Managed",IF(Table1[[#This Row],[Budget Remaining]]&gt;5000,"Critical","Refill")))</f>
        <v>Critical</v>
      </c>
    </row>
    <row r="254" spans="1:13" x14ac:dyDescent="0.3">
      <c r="A254" t="s">
        <v>399</v>
      </c>
      <c r="B254" t="s">
        <v>41</v>
      </c>
      <c r="C254" s="1" t="s">
        <v>12</v>
      </c>
      <c r="D254" t="s">
        <v>91</v>
      </c>
      <c r="E254">
        <v>119219</v>
      </c>
      <c r="F254" t="s">
        <v>3</v>
      </c>
      <c r="G254" t="s">
        <v>24</v>
      </c>
      <c r="H254">
        <v>119551</v>
      </c>
      <c r="I254">
        <v>332</v>
      </c>
      <c r="J254" t="s">
        <v>44</v>
      </c>
      <c r="K254" t="s">
        <v>398</v>
      </c>
      <c r="L254" t="str">
        <f t="shared" si="6"/>
        <v>2024</v>
      </c>
      <c r="M254" t="str">
        <f>IF(Table1[[#This Row],[Budget Remaining]]&gt;40000,"Safe",IF(Table1[[#This Row],[Budget Remaining]]&gt;20000,"Managed",IF(Table1[[#This Row],[Budget Remaining]]&gt;5000,"Critical","Refill")))</f>
        <v>Refill</v>
      </c>
    </row>
    <row r="255" spans="1:13" x14ac:dyDescent="0.3">
      <c r="A255" t="s">
        <v>397</v>
      </c>
      <c r="B255" t="s">
        <v>41</v>
      </c>
      <c r="C255" t="s">
        <v>26</v>
      </c>
      <c r="D255" t="s">
        <v>97</v>
      </c>
      <c r="E255">
        <v>92055</v>
      </c>
      <c r="F255" t="s">
        <v>10</v>
      </c>
      <c r="G255" t="s">
        <v>2</v>
      </c>
      <c r="H255">
        <v>136217</v>
      </c>
      <c r="I255">
        <v>44162</v>
      </c>
      <c r="J255" t="s">
        <v>44</v>
      </c>
      <c r="K255" t="s">
        <v>396</v>
      </c>
      <c r="L255" t="str">
        <f t="shared" si="6"/>
        <v>2024</v>
      </c>
      <c r="M255" t="str">
        <f>IF(Table1[[#This Row],[Budget Remaining]]&gt;40000,"Safe",IF(Table1[[#This Row],[Budget Remaining]]&gt;20000,"Managed",IF(Table1[[#This Row],[Budget Remaining]]&gt;5000,"Critical","Refill")))</f>
        <v>Safe</v>
      </c>
    </row>
    <row r="256" spans="1:13" x14ac:dyDescent="0.3">
      <c r="A256" t="s">
        <v>395</v>
      </c>
      <c r="B256" t="s">
        <v>80</v>
      </c>
      <c r="C256" t="s">
        <v>5</v>
      </c>
      <c r="D256" t="s">
        <v>235</v>
      </c>
      <c r="E256">
        <v>8884</v>
      </c>
      <c r="F256" t="s">
        <v>35</v>
      </c>
      <c r="G256" t="s">
        <v>2</v>
      </c>
      <c r="H256">
        <v>10775</v>
      </c>
      <c r="I256">
        <v>1891</v>
      </c>
      <c r="J256" t="s">
        <v>1</v>
      </c>
      <c r="K256" t="s">
        <v>394</v>
      </c>
      <c r="L256" t="str">
        <f t="shared" si="6"/>
        <v>2024</v>
      </c>
      <c r="M256" t="str">
        <f>IF(Table1[[#This Row],[Budget Remaining]]&gt;40000,"Safe",IF(Table1[[#This Row],[Budget Remaining]]&gt;20000,"Managed",IF(Table1[[#This Row],[Budget Remaining]]&gt;5000,"Critical","Refill")))</f>
        <v>Refill</v>
      </c>
    </row>
    <row r="257" spans="1:13" x14ac:dyDescent="0.3">
      <c r="A257" t="s">
        <v>393</v>
      </c>
      <c r="B257" t="s">
        <v>80</v>
      </c>
      <c r="C257" t="s">
        <v>5</v>
      </c>
      <c r="D257" t="s">
        <v>235</v>
      </c>
      <c r="E257">
        <v>12891</v>
      </c>
      <c r="F257" t="s">
        <v>19</v>
      </c>
      <c r="G257" t="s">
        <v>2</v>
      </c>
      <c r="H257">
        <v>14163</v>
      </c>
      <c r="I257">
        <v>1272</v>
      </c>
      <c r="J257" t="s">
        <v>83</v>
      </c>
      <c r="K257" t="s">
        <v>392</v>
      </c>
      <c r="L257" t="str">
        <f t="shared" si="6"/>
        <v>2024</v>
      </c>
      <c r="M257" t="str">
        <f>IF(Table1[[#This Row],[Budget Remaining]]&gt;40000,"Safe",IF(Table1[[#This Row],[Budget Remaining]]&gt;20000,"Managed",IF(Table1[[#This Row],[Budget Remaining]]&gt;5000,"Critical","Refill")))</f>
        <v>Refill</v>
      </c>
    </row>
    <row r="258" spans="1:13" x14ac:dyDescent="0.3">
      <c r="A258" t="s">
        <v>391</v>
      </c>
      <c r="B258" t="s">
        <v>80</v>
      </c>
      <c r="C258" t="s">
        <v>41</v>
      </c>
      <c r="D258" t="s">
        <v>230</v>
      </c>
      <c r="E258">
        <v>147517</v>
      </c>
      <c r="F258" t="s">
        <v>35</v>
      </c>
      <c r="G258" t="s">
        <v>2</v>
      </c>
      <c r="H258">
        <v>183452</v>
      </c>
      <c r="I258">
        <v>35935</v>
      </c>
      <c r="J258" t="s">
        <v>1</v>
      </c>
      <c r="K258" t="s">
        <v>390</v>
      </c>
      <c r="L258" t="str">
        <f t="shared" si="6"/>
        <v>2024</v>
      </c>
      <c r="M258" t="str">
        <f>IF(Table1[[#This Row],[Budget Remaining]]&gt;40000,"Safe",IF(Table1[[#This Row],[Budget Remaining]]&gt;20000,"Managed",IF(Table1[[#This Row],[Budget Remaining]]&gt;5000,"Critical","Refill")))</f>
        <v>Managed</v>
      </c>
    </row>
    <row r="259" spans="1:13" x14ac:dyDescent="0.3">
      <c r="A259" t="s">
        <v>389</v>
      </c>
      <c r="B259" t="s">
        <v>80</v>
      </c>
      <c r="C259" t="s">
        <v>5</v>
      </c>
      <c r="D259" t="s">
        <v>235</v>
      </c>
      <c r="E259">
        <v>30539</v>
      </c>
      <c r="F259" t="s">
        <v>10</v>
      </c>
      <c r="G259" t="s">
        <v>24</v>
      </c>
      <c r="H259">
        <v>45744</v>
      </c>
      <c r="I259">
        <v>15205</v>
      </c>
      <c r="J259" t="s">
        <v>30</v>
      </c>
      <c r="K259" t="s">
        <v>388</v>
      </c>
      <c r="L259" t="str">
        <f t="shared" si="6"/>
        <v>2024</v>
      </c>
      <c r="M259" t="str">
        <f>IF(Table1[[#This Row],[Budget Remaining]]&gt;40000,"Safe",IF(Table1[[#This Row],[Budget Remaining]]&gt;20000,"Managed",IF(Table1[[#This Row],[Budget Remaining]]&gt;5000,"Critical","Refill")))</f>
        <v>Critical</v>
      </c>
    </row>
    <row r="260" spans="1:13" x14ac:dyDescent="0.3">
      <c r="A260" t="s">
        <v>387</v>
      </c>
      <c r="B260" t="s">
        <v>80</v>
      </c>
      <c r="C260" t="s">
        <v>32</v>
      </c>
      <c r="D260" t="s">
        <v>164</v>
      </c>
      <c r="E260">
        <v>10237</v>
      </c>
      <c r="F260" t="s">
        <v>10</v>
      </c>
      <c r="G260" t="s">
        <v>24</v>
      </c>
      <c r="H260">
        <v>13565</v>
      </c>
      <c r="I260">
        <v>3328</v>
      </c>
      <c r="J260" t="s">
        <v>100</v>
      </c>
      <c r="K260" t="s">
        <v>386</v>
      </c>
      <c r="L260" t="str">
        <f t="shared" si="6"/>
        <v>2024</v>
      </c>
      <c r="M260" t="str">
        <f>IF(Table1[[#This Row],[Budget Remaining]]&gt;40000,"Safe",IF(Table1[[#This Row],[Budget Remaining]]&gt;20000,"Managed",IF(Table1[[#This Row],[Budget Remaining]]&gt;5000,"Critical","Refill")))</f>
        <v>Refill</v>
      </c>
    </row>
    <row r="261" spans="1:13" x14ac:dyDescent="0.3">
      <c r="A261" t="s">
        <v>385</v>
      </c>
      <c r="B261" t="s">
        <v>80</v>
      </c>
      <c r="C261" t="s">
        <v>32</v>
      </c>
      <c r="D261" t="s">
        <v>164</v>
      </c>
      <c r="E261">
        <v>9509</v>
      </c>
      <c r="F261" t="s">
        <v>35</v>
      </c>
      <c r="G261" t="s">
        <v>2</v>
      </c>
      <c r="H261">
        <v>12383</v>
      </c>
      <c r="I261">
        <v>2874</v>
      </c>
      <c r="J261" t="s">
        <v>30</v>
      </c>
      <c r="K261" t="s">
        <v>384</v>
      </c>
      <c r="L261" t="str">
        <f t="shared" ref="L261:L319" si="7">SUBSTITUTE(2026,1,1)</f>
        <v>2026</v>
      </c>
      <c r="M261" t="str">
        <f>IF(Table1[[#This Row],[Budget Remaining]]&gt;40000,"Safe",IF(Table1[[#This Row],[Budget Remaining]]&gt;20000,"Managed",IF(Table1[[#This Row],[Budget Remaining]]&gt;5000,"Critical","Refill")))</f>
        <v>Refill</v>
      </c>
    </row>
    <row r="262" spans="1:13" x14ac:dyDescent="0.3">
      <c r="A262" t="s">
        <v>383</v>
      </c>
      <c r="B262" t="s">
        <v>80</v>
      </c>
      <c r="C262" t="s">
        <v>41</v>
      </c>
      <c r="D262" t="s">
        <v>230</v>
      </c>
      <c r="E262">
        <v>147462</v>
      </c>
      <c r="F262" t="s">
        <v>19</v>
      </c>
      <c r="G262" t="s">
        <v>2</v>
      </c>
      <c r="H262">
        <v>200186</v>
      </c>
      <c r="I262">
        <v>52724</v>
      </c>
      <c r="J262" t="s">
        <v>83</v>
      </c>
      <c r="K262" t="s">
        <v>382</v>
      </c>
      <c r="L262" t="str">
        <f t="shared" si="7"/>
        <v>2026</v>
      </c>
      <c r="M262" t="str">
        <f>IF(Table1[[#This Row],[Budget Remaining]]&gt;40000,"Safe",IF(Table1[[#This Row],[Budget Remaining]]&gt;20000,"Managed",IF(Table1[[#This Row],[Budget Remaining]]&gt;5000,"Critical","Refill")))</f>
        <v>Safe</v>
      </c>
    </row>
    <row r="263" spans="1:13" x14ac:dyDescent="0.3">
      <c r="A263" t="s">
        <v>381</v>
      </c>
      <c r="B263" t="s">
        <v>55</v>
      </c>
      <c r="C263" t="s">
        <v>26</v>
      </c>
      <c r="D263" t="s">
        <v>61</v>
      </c>
      <c r="E263">
        <v>27576</v>
      </c>
      <c r="F263" t="s">
        <v>10</v>
      </c>
      <c r="G263" t="s">
        <v>2</v>
      </c>
      <c r="H263">
        <v>41272</v>
      </c>
      <c r="I263">
        <v>13696</v>
      </c>
      <c r="J263" t="s">
        <v>100</v>
      </c>
      <c r="K263" t="s">
        <v>380</v>
      </c>
      <c r="L263" t="str">
        <f t="shared" si="7"/>
        <v>2026</v>
      </c>
      <c r="M263" t="str">
        <f>IF(Table1[[#This Row],[Budget Remaining]]&gt;40000,"Safe",IF(Table1[[#This Row],[Budget Remaining]]&gt;20000,"Managed",IF(Table1[[#This Row],[Budget Remaining]]&gt;5000,"Critical","Refill")))</f>
        <v>Critical</v>
      </c>
    </row>
    <row r="264" spans="1:13" x14ac:dyDescent="0.3">
      <c r="A264" t="s">
        <v>379</v>
      </c>
      <c r="B264" t="s">
        <v>55</v>
      </c>
      <c r="C264" t="s">
        <v>26</v>
      </c>
      <c r="D264" t="s">
        <v>61</v>
      </c>
      <c r="E264">
        <v>96778</v>
      </c>
      <c r="F264" t="s">
        <v>35</v>
      </c>
      <c r="G264" t="s">
        <v>24</v>
      </c>
      <c r="H264">
        <v>101361</v>
      </c>
      <c r="I264">
        <v>4583</v>
      </c>
      <c r="J264" t="s">
        <v>9</v>
      </c>
      <c r="K264" t="s">
        <v>378</v>
      </c>
      <c r="L264" t="str">
        <f t="shared" si="7"/>
        <v>2026</v>
      </c>
      <c r="M264" t="str">
        <f>IF(Table1[[#This Row],[Budget Remaining]]&gt;40000,"Safe",IF(Table1[[#This Row],[Budget Remaining]]&gt;20000,"Managed",IF(Table1[[#This Row],[Budget Remaining]]&gt;5000,"Critical","Refill")))</f>
        <v>Refill</v>
      </c>
    </row>
    <row r="265" spans="1:13" x14ac:dyDescent="0.3">
      <c r="A265" t="s">
        <v>377</v>
      </c>
      <c r="B265" t="s">
        <v>55</v>
      </c>
      <c r="C265" t="s">
        <v>32</v>
      </c>
      <c r="D265" t="s">
        <v>64</v>
      </c>
      <c r="E265">
        <v>11425</v>
      </c>
      <c r="F265" t="s">
        <v>10</v>
      </c>
      <c r="G265" t="s">
        <v>2</v>
      </c>
      <c r="H265">
        <v>14619</v>
      </c>
      <c r="I265">
        <v>3194</v>
      </c>
      <c r="J265" t="s">
        <v>100</v>
      </c>
      <c r="K265" t="s">
        <v>376</v>
      </c>
      <c r="L265" t="str">
        <f t="shared" si="7"/>
        <v>2026</v>
      </c>
      <c r="M265" t="str">
        <f>IF(Table1[[#This Row],[Budget Remaining]]&gt;40000,"Safe",IF(Table1[[#This Row],[Budget Remaining]]&gt;20000,"Managed",IF(Table1[[#This Row],[Budget Remaining]]&gt;5000,"Critical","Refill")))</f>
        <v>Refill</v>
      </c>
    </row>
    <row r="266" spans="1:13" x14ac:dyDescent="0.3">
      <c r="A266" t="s">
        <v>375</v>
      </c>
      <c r="B266" t="s">
        <v>55</v>
      </c>
      <c r="C266" t="s">
        <v>69</v>
      </c>
      <c r="D266" t="s">
        <v>68</v>
      </c>
      <c r="E266">
        <v>29894</v>
      </c>
      <c r="F266" t="s">
        <v>10</v>
      </c>
      <c r="G266" t="s">
        <v>2</v>
      </c>
      <c r="H266">
        <v>43518</v>
      </c>
      <c r="I266">
        <v>13624</v>
      </c>
      <c r="J266" t="s">
        <v>51</v>
      </c>
      <c r="K266" t="s">
        <v>374</v>
      </c>
      <c r="L266" t="str">
        <f t="shared" si="7"/>
        <v>2026</v>
      </c>
      <c r="M266" t="str">
        <f>IF(Table1[[#This Row],[Budget Remaining]]&gt;40000,"Safe",IF(Table1[[#This Row],[Budget Remaining]]&gt;20000,"Managed",IF(Table1[[#This Row],[Budget Remaining]]&gt;5000,"Critical","Refill")))</f>
        <v>Critical</v>
      </c>
    </row>
    <row r="267" spans="1:13" x14ac:dyDescent="0.3">
      <c r="A267" t="s">
        <v>373</v>
      </c>
      <c r="B267" t="s">
        <v>27</v>
      </c>
      <c r="C267" t="s">
        <v>21</v>
      </c>
      <c r="D267" t="s">
        <v>45</v>
      </c>
      <c r="E267">
        <v>1134</v>
      </c>
      <c r="F267" t="s">
        <v>3</v>
      </c>
      <c r="G267" t="s">
        <v>2</v>
      </c>
      <c r="H267">
        <v>1470</v>
      </c>
      <c r="I267">
        <v>336</v>
      </c>
      <c r="J267" t="s">
        <v>9</v>
      </c>
      <c r="K267" t="s">
        <v>372</v>
      </c>
      <c r="L267" t="str">
        <f t="shared" si="7"/>
        <v>2026</v>
      </c>
      <c r="M267" t="str">
        <f>IF(Table1[[#This Row],[Budget Remaining]]&gt;40000,"Safe",IF(Table1[[#This Row],[Budget Remaining]]&gt;20000,"Managed",IF(Table1[[#This Row],[Budget Remaining]]&gt;5000,"Critical","Refill")))</f>
        <v>Refill</v>
      </c>
    </row>
    <row r="268" spans="1:13" x14ac:dyDescent="0.3">
      <c r="A268" t="s">
        <v>371</v>
      </c>
      <c r="B268" t="s">
        <v>27</v>
      </c>
      <c r="C268" t="s">
        <v>5</v>
      </c>
      <c r="D268" t="s">
        <v>48</v>
      </c>
      <c r="E268">
        <v>10303</v>
      </c>
      <c r="F268" t="s">
        <v>35</v>
      </c>
      <c r="G268" t="s">
        <v>2</v>
      </c>
      <c r="H268">
        <v>14408</v>
      </c>
      <c r="I268">
        <v>4105</v>
      </c>
      <c r="J268" t="s">
        <v>51</v>
      </c>
      <c r="K268" t="s">
        <v>370</v>
      </c>
      <c r="L268" t="str">
        <f t="shared" si="7"/>
        <v>2026</v>
      </c>
      <c r="M268" t="str">
        <f>IF(Table1[[#This Row],[Budget Remaining]]&gt;40000,"Safe",IF(Table1[[#This Row],[Budget Remaining]]&gt;20000,"Managed",IF(Table1[[#This Row],[Budget Remaining]]&gt;5000,"Critical","Refill")))</f>
        <v>Refill</v>
      </c>
    </row>
    <row r="269" spans="1:13" x14ac:dyDescent="0.3">
      <c r="A269" t="s">
        <v>369</v>
      </c>
      <c r="B269" t="s">
        <v>27</v>
      </c>
      <c r="C269" t="s">
        <v>69</v>
      </c>
      <c r="D269" t="s">
        <v>368</v>
      </c>
      <c r="E269">
        <v>29453</v>
      </c>
      <c r="F269" t="s">
        <v>35</v>
      </c>
      <c r="G269" t="s">
        <v>2</v>
      </c>
      <c r="H269">
        <v>40310</v>
      </c>
      <c r="I269">
        <v>10857</v>
      </c>
      <c r="J269" t="s">
        <v>9</v>
      </c>
      <c r="K269" t="s">
        <v>367</v>
      </c>
      <c r="L269" t="str">
        <f t="shared" si="7"/>
        <v>2026</v>
      </c>
      <c r="M269" t="str">
        <f>IF(Table1[[#This Row],[Budget Remaining]]&gt;40000,"Safe",IF(Table1[[#This Row],[Budget Remaining]]&gt;20000,"Managed",IF(Table1[[#This Row],[Budget Remaining]]&gt;5000,"Critical","Refill")))</f>
        <v>Critical</v>
      </c>
    </row>
    <row r="270" spans="1:13" x14ac:dyDescent="0.3">
      <c r="A270" t="s">
        <v>366</v>
      </c>
      <c r="B270" t="s">
        <v>27</v>
      </c>
      <c r="C270" t="s">
        <v>21</v>
      </c>
      <c r="D270" t="s">
        <v>45</v>
      </c>
      <c r="E270">
        <v>2273</v>
      </c>
      <c r="F270" t="s">
        <v>3</v>
      </c>
      <c r="G270" t="s">
        <v>2</v>
      </c>
      <c r="H270">
        <v>2377</v>
      </c>
      <c r="I270">
        <v>104</v>
      </c>
      <c r="J270" t="s">
        <v>9</v>
      </c>
      <c r="K270" t="s">
        <v>365</v>
      </c>
      <c r="L270" t="str">
        <f t="shared" si="7"/>
        <v>2026</v>
      </c>
      <c r="M270" t="str">
        <f>IF(Table1[[#This Row],[Budget Remaining]]&gt;40000,"Safe",IF(Table1[[#This Row],[Budget Remaining]]&gt;20000,"Managed",IF(Table1[[#This Row],[Budget Remaining]]&gt;5000,"Critical","Refill")))</f>
        <v>Refill</v>
      </c>
    </row>
    <row r="271" spans="1:13" x14ac:dyDescent="0.3">
      <c r="A271" t="s">
        <v>364</v>
      </c>
      <c r="B271" t="s">
        <v>27</v>
      </c>
      <c r="C271" t="s">
        <v>37</v>
      </c>
      <c r="D271" t="s">
        <v>36</v>
      </c>
      <c r="E271">
        <v>47380</v>
      </c>
      <c r="F271" t="s">
        <v>3</v>
      </c>
      <c r="G271" t="s">
        <v>24</v>
      </c>
      <c r="H271">
        <v>49223</v>
      </c>
      <c r="I271">
        <v>1843</v>
      </c>
      <c r="J271" t="s">
        <v>44</v>
      </c>
      <c r="K271" t="s">
        <v>363</v>
      </c>
      <c r="L271" t="str">
        <f t="shared" si="7"/>
        <v>2026</v>
      </c>
      <c r="M271" t="str">
        <f>IF(Table1[[#This Row],[Budget Remaining]]&gt;40000,"Safe",IF(Table1[[#This Row],[Budget Remaining]]&gt;20000,"Managed",IF(Table1[[#This Row],[Budget Remaining]]&gt;5000,"Critical","Refill")))</f>
        <v>Refill</v>
      </c>
    </row>
    <row r="272" spans="1:13" x14ac:dyDescent="0.3">
      <c r="A272" t="s">
        <v>362</v>
      </c>
      <c r="B272" s="1" t="s">
        <v>6</v>
      </c>
      <c r="C272" t="s">
        <v>26</v>
      </c>
      <c r="D272" t="s">
        <v>127</v>
      </c>
      <c r="E272">
        <v>95744</v>
      </c>
      <c r="F272" t="s">
        <v>19</v>
      </c>
      <c r="G272" t="s">
        <v>2</v>
      </c>
      <c r="H272">
        <v>110228</v>
      </c>
      <c r="I272">
        <v>14484</v>
      </c>
      <c r="J272" t="s">
        <v>18</v>
      </c>
      <c r="K272" t="s">
        <v>361</v>
      </c>
      <c r="L272" t="str">
        <f t="shared" si="7"/>
        <v>2026</v>
      </c>
      <c r="M272" t="str">
        <f>IF(Table1[[#This Row],[Budget Remaining]]&gt;40000,"Safe",IF(Table1[[#This Row],[Budget Remaining]]&gt;20000,"Managed",IF(Table1[[#This Row],[Budget Remaining]]&gt;5000,"Critical","Refill")))</f>
        <v>Critical</v>
      </c>
    </row>
    <row r="273" spans="1:13" x14ac:dyDescent="0.3">
      <c r="A273" t="s">
        <v>360</v>
      </c>
      <c r="B273" s="1" t="s">
        <v>6</v>
      </c>
      <c r="C273" s="1" t="s">
        <v>12</v>
      </c>
      <c r="D273" t="s">
        <v>11</v>
      </c>
      <c r="E273">
        <v>106439</v>
      </c>
      <c r="F273" t="s">
        <v>10</v>
      </c>
      <c r="G273" t="s">
        <v>2</v>
      </c>
      <c r="H273">
        <v>126957</v>
      </c>
      <c r="I273">
        <v>20518</v>
      </c>
      <c r="J273" t="s">
        <v>18</v>
      </c>
      <c r="K273" t="s">
        <v>359</v>
      </c>
      <c r="L273" t="str">
        <f t="shared" si="7"/>
        <v>2026</v>
      </c>
      <c r="M273" t="str">
        <f>IF(Table1[[#This Row],[Budget Remaining]]&gt;40000,"Safe",IF(Table1[[#This Row],[Budget Remaining]]&gt;20000,"Managed",IF(Table1[[#This Row],[Budget Remaining]]&gt;5000,"Critical","Refill")))</f>
        <v>Managed</v>
      </c>
    </row>
    <row r="274" spans="1:13" x14ac:dyDescent="0.3">
      <c r="A274" t="s">
        <v>358</v>
      </c>
      <c r="B274" s="1" t="s">
        <v>6</v>
      </c>
      <c r="C274" t="s">
        <v>5</v>
      </c>
      <c r="D274" t="s">
        <v>4</v>
      </c>
      <c r="E274">
        <v>41674</v>
      </c>
      <c r="F274" t="s">
        <v>10</v>
      </c>
      <c r="G274" t="s">
        <v>2</v>
      </c>
      <c r="H274">
        <v>59223</v>
      </c>
      <c r="I274">
        <v>17549</v>
      </c>
      <c r="J274" t="s">
        <v>83</v>
      </c>
      <c r="K274" t="s">
        <v>357</v>
      </c>
      <c r="L274" t="str">
        <f t="shared" si="7"/>
        <v>2026</v>
      </c>
      <c r="M274" t="str">
        <f>IF(Table1[[#This Row],[Budget Remaining]]&gt;40000,"Safe",IF(Table1[[#This Row],[Budget Remaining]]&gt;20000,"Managed",IF(Table1[[#This Row],[Budget Remaining]]&gt;5000,"Critical","Refill")))</f>
        <v>Critical</v>
      </c>
    </row>
    <row r="275" spans="1:13" x14ac:dyDescent="0.3">
      <c r="A275" t="s">
        <v>356</v>
      </c>
      <c r="B275" s="1" t="s">
        <v>6</v>
      </c>
      <c r="C275" t="s">
        <v>26</v>
      </c>
      <c r="D275" t="s">
        <v>127</v>
      </c>
      <c r="E275">
        <v>138475</v>
      </c>
      <c r="F275" t="s">
        <v>19</v>
      </c>
      <c r="G275" t="s">
        <v>24</v>
      </c>
      <c r="H275">
        <v>186602</v>
      </c>
      <c r="I275">
        <v>48127</v>
      </c>
      <c r="J275" t="s">
        <v>83</v>
      </c>
      <c r="K275" t="s">
        <v>355</v>
      </c>
      <c r="L275" t="str">
        <f t="shared" si="7"/>
        <v>2026</v>
      </c>
      <c r="M275" t="str">
        <f>IF(Table1[[#This Row],[Budget Remaining]]&gt;40000,"Safe",IF(Table1[[#This Row],[Budget Remaining]]&gt;20000,"Managed",IF(Table1[[#This Row],[Budget Remaining]]&gt;5000,"Critical","Refill")))</f>
        <v>Safe</v>
      </c>
    </row>
    <row r="276" spans="1:13" x14ac:dyDescent="0.3">
      <c r="A276" t="s">
        <v>354</v>
      </c>
      <c r="B276" s="1" t="s">
        <v>6</v>
      </c>
      <c r="C276" t="s">
        <v>32</v>
      </c>
      <c r="D276" t="s">
        <v>204</v>
      </c>
      <c r="E276">
        <v>3916</v>
      </c>
      <c r="F276" t="s">
        <v>35</v>
      </c>
      <c r="G276" t="s">
        <v>2</v>
      </c>
      <c r="H276">
        <v>3966</v>
      </c>
      <c r="I276">
        <v>50</v>
      </c>
      <c r="J276" t="s">
        <v>83</v>
      </c>
      <c r="K276" t="s">
        <v>353</v>
      </c>
      <c r="L276" t="str">
        <f t="shared" si="7"/>
        <v>2026</v>
      </c>
      <c r="M276" t="str">
        <f>IF(Table1[[#This Row],[Budget Remaining]]&gt;40000,"Safe",IF(Table1[[#This Row],[Budget Remaining]]&gt;20000,"Managed",IF(Table1[[#This Row],[Budget Remaining]]&gt;5000,"Critical","Refill")))</f>
        <v>Refill</v>
      </c>
    </row>
    <row r="277" spans="1:13" x14ac:dyDescent="0.3">
      <c r="A277" t="s">
        <v>352</v>
      </c>
      <c r="B277" s="1" t="s">
        <v>6</v>
      </c>
      <c r="C277" t="s">
        <v>21</v>
      </c>
      <c r="D277" t="s">
        <v>20</v>
      </c>
      <c r="E277">
        <v>3633</v>
      </c>
      <c r="F277" t="s">
        <v>19</v>
      </c>
      <c r="G277" t="s">
        <v>2</v>
      </c>
      <c r="H277">
        <v>4313</v>
      </c>
      <c r="I277">
        <v>680</v>
      </c>
      <c r="J277" t="s">
        <v>44</v>
      </c>
      <c r="K277" t="s">
        <v>351</v>
      </c>
      <c r="L277" t="str">
        <f t="shared" si="7"/>
        <v>2026</v>
      </c>
      <c r="M277" t="str">
        <f>IF(Table1[[#This Row],[Budget Remaining]]&gt;40000,"Safe",IF(Table1[[#This Row],[Budget Remaining]]&gt;20000,"Managed",IF(Table1[[#This Row],[Budget Remaining]]&gt;5000,"Critical","Refill")))</f>
        <v>Refill</v>
      </c>
    </row>
    <row r="278" spans="1:13" x14ac:dyDescent="0.3">
      <c r="A278" t="s">
        <v>350</v>
      </c>
      <c r="B278" s="1" t="s">
        <v>6</v>
      </c>
      <c r="C278" t="s">
        <v>21</v>
      </c>
      <c r="D278" t="s">
        <v>20</v>
      </c>
      <c r="E278">
        <v>545</v>
      </c>
      <c r="F278" t="s">
        <v>19</v>
      </c>
      <c r="G278" t="s">
        <v>2</v>
      </c>
      <c r="H278">
        <v>705</v>
      </c>
      <c r="I278">
        <v>160</v>
      </c>
      <c r="J278" t="s">
        <v>15</v>
      </c>
      <c r="K278" t="s">
        <v>349</v>
      </c>
      <c r="L278" t="str">
        <f t="shared" si="7"/>
        <v>2026</v>
      </c>
      <c r="M278" t="str">
        <f>IF(Table1[[#This Row],[Budget Remaining]]&gt;40000,"Safe",IF(Table1[[#This Row],[Budget Remaining]]&gt;20000,"Managed",IF(Table1[[#This Row],[Budget Remaining]]&gt;5000,"Critical","Refill")))</f>
        <v>Refill</v>
      </c>
    </row>
    <row r="279" spans="1:13" x14ac:dyDescent="0.3">
      <c r="A279" t="s">
        <v>348</v>
      </c>
      <c r="B279" s="1" t="s">
        <v>6</v>
      </c>
      <c r="C279" t="s">
        <v>37</v>
      </c>
      <c r="D279" t="s">
        <v>347</v>
      </c>
      <c r="E279">
        <v>40786</v>
      </c>
      <c r="F279" t="s">
        <v>35</v>
      </c>
      <c r="G279" t="s">
        <v>2</v>
      </c>
      <c r="H279">
        <v>41470</v>
      </c>
      <c r="I279">
        <v>684</v>
      </c>
      <c r="J279" t="s">
        <v>1</v>
      </c>
      <c r="K279" t="s">
        <v>346</v>
      </c>
      <c r="L279" t="str">
        <f t="shared" si="7"/>
        <v>2026</v>
      </c>
      <c r="M279" t="str">
        <f>IF(Table1[[#This Row],[Budget Remaining]]&gt;40000,"Safe",IF(Table1[[#This Row],[Budget Remaining]]&gt;20000,"Managed",IF(Table1[[#This Row],[Budget Remaining]]&gt;5000,"Critical","Refill")))</f>
        <v>Refill</v>
      </c>
    </row>
    <row r="280" spans="1:13" x14ac:dyDescent="0.3">
      <c r="A280" t="s">
        <v>345</v>
      </c>
      <c r="B280" t="s">
        <v>105</v>
      </c>
      <c r="C280" t="s">
        <v>37</v>
      </c>
      <c r="D280" t="s">
        <v>189</v>
      </c>
      <c r="E280">
        <v>79996</v>
      </c>
      <c r="F280" t="s">
        <v>35</v>
      </c>
      <c r="G280" t="s">
        <v>24</v>
      </c>
      <c r="H280">
        <v>112927</v>
      </c>
      <c r="I280">
        <v>32931</v>
      </c>
      <c r="J280" t="s">
        <v>44</v>
      </c>
      <c r="K280" t="s">
        <v>344</v>
      </c>
      <c r="L280" t="str">
        <f t="shared" si="7"/>
        <v>2026</v>
      </c>
      <c r="M280" t="str">
        <f>IF(Table1[[#This Row],[Budget Remaining]]&gt;40000,"Safe",IF(Table1[[#This Row],[Budget Remaining]]&gt;20000,"Managed",IF(Table1[[#This Row],[Budget Remaining]]&gt;5000,"Critical","Refill")))</f>
        <v>Managed</v>
      </c>
    </row>
    <row r="281" spans="1:13" x14ac:dyDescent="0.3">
      <c r="A281" t="s">
        <v>343</v>
      </c>
      <c r="B281" t="s">
        <v>105</v>
      </c>
      <c r="C281" t="s">
        <v>41</v>
      </c>
      <c r="D281" t="s">
        <v>340</v>
      </c>
      <c r="E281">
        <v>134111</v>
      </c>
      <c r="F281" t="s">
        <v>19</v>
      </c>
      <c r="G281" t="s">
        <v>2</v>
      </c>
      <c r="H281">
        <v>184398</v>
      </c>
      <c r="I281">
        <v>50287</v>
      </c>
      <c r="J281" t="s">
        <v>30</v>
      </c>
      <c r="K281" t="s">
        <v>342</v>
      </c>
      <c r="L281" t="str">
        <f t="shared" si="7"/>
        <v>2026</v>
      </c>
      <c r="M281" t="str">
        <f>IF(Table1[[#This Row],[Budget Remaining]]&gt;40000,"Safe",IF(Table1[[#This Row],[Budget Remaining]]&gt;20000,"Managed",IF(Table1[[#This Row],[Budget Remaining]]&gt;5000,"Critical","Refill")))</f>
        <v>Safe</v>
      </c>
    </row>
    <row r="282" spans="1:13" x14ac:dyDescent="0.3">
      <c r="A282" t="s">
        <v>341</v>
      </c>
      <c r="B282" t="s">
        <v>105</v>
      </c>
      <c r="C282" t="s">
        <v>41</v>
      </c>
      <c r="D282" t="s">
        <v>340</v>
      </c>
      <c r="E282">
        <v>56375</v>
      </c>
      <c r="F282" t="s">
        <v>19</v>
      </c>
      <c r="G282" t="s">
        <v>2</v>
      </c>
      <c r="H282">
        <v>80924</v>
      </c>
      <c r="I282">
        <v>24549</v>
      </c>
      <c r="J282" t="s">
        <v>67</v>
      </c>
      <c r="K282" t="s">
        <v>339</v>
      </c>
      <c r="L282" t="str">
        <f t="shared" si="7"/>
        <v>2026</v>
      </c>
      <c r="M282" t="str">
        <f>IF(Table1[[#This Row],[Budget Remaining]]&gt;40000,"Safe",IF(Table1[[#This Row],[Budget Remaining]]&gt;20000,"Managed",IF(Table1[[#This Row],[Budget Remaining]]&gt;5000,"Critical","Refill")))</f>
        <v>Managed</v>
      </c>
    </row>
    <row r="283" spans="1:13" x14ac:dyDescent="0.3">
      <c r="A283" t="s">
        <v>338</v>
      </c>
      <c r="B283" t="s">
        <v>105</v>
      </c>
      <c r="C283" t="s">
        <v>26</v>
      </c>
      <c r="D283" t="s">
        <v>113</v>
      </c>
      <c r="E283">
        <v>177111</v>
      </c>
      <c r="F283" t="s">
        <v>19</v>
      </c>
      <c r="G283" t="s">
        <v>24</v>
      </c>
      <c r="H283">
        <v>240038</v>
      </c>
      <c r="I283">
        <v>62927</v>
      </c>
      <c r="J283" t="s">
        <v>15</v>
      </c>
      <c r="K283" t="s">
        <v>337</v>
      </c>
      <c r="L283" t="str">
        <f t="shared" si="7"/>
        <v>2026</v>
      </c>
      <c r="M283" t="str">
        <f>IF(Table1[[#This Row],[Budget Remaining]]&gt;40000,"Safe",IF(Table1[[#This Row],[Budget Remaining]]&gt;20000,"Managed",IF(Table1[[#This Row],[Budget Remaining]]&gt;5000,"Critical","Refill")))</f>
        <v>Safe</v>
      </c>
    </row>
    <row r="284" spans="1:13" x14ac:dyDescent="0.3">
      <c r="A284" t="s">
        <v>336</v>
      </c>
      <c r="B284" t="s">
        <v>105</v>
      </c>
      <c r="C284" t="s">
        <v>37</v>
      </c>
      <c r="D284" t="s">
        <v>189</v>
      </c>
      <c r="E284">
        <v>48603</v>
      </c>
      <c r="F284" t="s">
        <v>10</v>
      </c>
      <c r="G284" t="s">
        <v>2</v>
      </c>
      <c r="H284">
        <v>68950</v>
      </c>
      <c r="I284">
        <v>20347</v>
      </c>
      <c r="J284" t="s">
        <v>51</v>
      </c>
      <c r="K284" t="s">
        <v>335</v>
      </c>
      <c r="L284" t="str">
        <f t="shared" si="7"/>
        <v>2026</v>
      </c>
      <c r="M284" t="str">
        <f>IF(Table1[[#This Row],[Budget Remaining]]&gt;40000,"Safe",IF(Table1[[#This Row],[Budget Remaining]]&gt;20000,"Managed",IF(Table1[[#This Row],[Budget Remaining]]&gt;5000,"Critical","Refill")))</f>
        <v>Managed</v>
      </c>
    </row>
    <row r="285" spans="1:13" x14ac:dyDescent="0.3">
      <c r="A285" t="s">
        <v>334</v>
      </c>
      <c r="B285" t="s">
        <v>41</v>
      </c>
      <c r="C285" t="s">
        <v>37</v>
      </c>
      <c r="D285" t="s">
        <v>182</v>
      </c>
      <c r="E285">
        <v>57844</v>
      </c>
      <c r="F285" t="s">
        <v>19</v>
      </c>
      <c r="G285" t="s">
        <v>2</v>
      </c>
      <c r="H285">
        <v>69887</v>
      </c>
      <c r="I285">
        <v>12043</v>
      </c>
      <c r="J285" t="s">
        <v>100</v>
      </c>
      <c r="K285" t="s">
        <v>333</v>
      </c>
      <c r="L285" t="str">
        <f t="shared" si="7"/>
        <v>2026</v>
      </c>
      <c r="M285" t="str">
        <f>IF(Table1[[#This Row],[Budget Remaining]]&gt;40000,"Safe",IF(Table1[[#This Row],[Budget Remaining]]&gt;20000,"Managed",IF(Table1[[#This Row],[Budget Remaining]]&gt;5000,"Critical","Refill")))</f>
        <v>Critical</v>
      </c>
    </row>
    <row r="286" spans="1:13" x14ac:dyDescent="0.3">
      <c r="A286" t="s">
        <v>332</v>
      </c>
      <c r="B286" t="s">
        <v>41</v>
      </c>
      <c r="C286" t="s">
        <v>41</v>
      </c>
      <c r="D286" t="s">
        <v>101</v>
      </c>
      <c r="E286">
        <v>79897</v>
      </c>
      <c r="F286" t="s">
        <v>19</v>
      </c>
      <c r="G286" t="s">
        <v>2</v>
      </c>
      <c r="H286">
        <v>83251</v>
      </c>
      <c r="I286">
        <v>3354</v>
      </c>
      <c r="J286" t="s">
        <v>51</v>
      </c>
      <c r="K286" t="s">
        <v>331</v>
      </c>
      <c r="L286" t="str">
        <f t="shared" si="7"/>
        <v>2026</v>
      </c>
      <c r="M286" t="str">
        <f>IF(Table1[[#This Row],[Budget Remaining]]&gt;40000,"Safe",IF(Table1[[#This Row],[Budget Remaining]]&gt;20000,"Managed",IF(Table1[[#This Row],[Budget Remaining]]&gt;5000,"Critical","Refill")))</f>
        <v>Refill</v>
      </c>
    </row>
    <row r="287" spans="1:13" x14ac:dyDescent="0.3">
      <c r="A287" t="s">
        <v>330</v>
      </c>
      <c r="B287" t="s">
        <v>41</v>
      </c>
      <c r="C287" s="1" t="s">
        <v>12</v>
      </c>
      <c r="D287" t="s">
        <v>91</v>
      </c>
      <c r="E287">
        <v>27671</v>
      </c>
      <c r="F287" t="s">
        <v>19</v>
      </c>
      <c r="G287" t="s">
        <v>2</v>
      </c>
      <c r="H287">
        <v>36461</v>
      </c>
      <c r="I287">
        <v>8790</v>
      </c>
      <c r="J287" t="s">
        <v>15</v>
      </c>
      <c r="K287" t="s">
        <v>329</v>
      </c>
      <c r="L287" t="str">
        <f t="shared" si="7"/>
        <v>2026</v>
      </c>
      <c r="M287" t="str">
        <f>IF(Table1[[#This Row],[Budget Remaining]]&gt;40000,"Safe",IF(Table1[[#This Row],[Budget Remaining]]&gt;20000,"Managed",IF(Table1[[#This Row],[Budget Remaining]]&gt;5000,"Critical","Refill")))</f>
        <v>Critical</v>
      </c>
    </row>
    <row r="288" spans="1:13" x14ac:dyDescent="0.3">
      <c r="A288" t="s">
        <v>328</v>
      </c>
      <c r="B288" t="s">
        <v>41</v>
      </c>
      <c r="C288" t="s">
        <v>32</v>
      </c>
      <c r="D288" t="s">
        <v>250</v>
      </c>
      <c r="E288">
        <v>2928</v>
      </c>
      <c r="F288" t="s">
        <v>19</v>
      </c>
      <c r="G288" t="s">
        <v>24</v>
      </c>
      <c r="H288">
        <v>3428</v>
      </c>
      <c r="I288">
        <v>500</v>
      </c>
      <c r="J288" t="s">
        <v>44</v>
      </c>
      <c r="K288" t="s">
        <v>327</v>
      </c>
      <c r="L288" t="str">
        <f t="shared" si="7"/>
        <v>2026</v>
      </c>
      <c r="M288" t="str">
        <f>IF(Table1[[#This Row],[Budget Remaining]]&gt;40000,"Safe",IF(Table1[[#This Row],[Budget Remaining]]&gt;20000,"Managed",IF(Table1[[#This Row],[Budget Remaining]]&gt;5000,"Critical","Refill")))</f>
        <v>Refill</v>
      </c>
    </row>
    <row r="289" spans="1:13" x14ac:dyDescent="0.3">
      <c r="A289" t="s">
        <v>326</v>
      </c>
      <c r="B289" t="s">
        <v>41</v>
      </c>
      <c r="C289" t="s">
        <v>5</v>
      </c>
      <c r="D289" t="s">
        <v>175</v>
      </c>
      <c r="E289">
        <v>7935</v>
      </c>
      <c r="F289" t="s">
        <v>3</v>
      </c>
      <c r="G289" t="s">
        <v>2</v>
      </c>
      <c r="H289">
        <v>8659</v>
      </c>
      <c r="I289">
        <v>724</v>
      </c>
      <c r="J289" t="s">
        <v>51</v>
      </c>
      <c r="K289" t="s">
        <v>325</v>
      </c>
      <c r="L289" t="str">
        <f t="shared" si="7"/>
        <v>2026</v>
      </c>
      <c r="M289" t="str">
        <f>IF(Table1[[#This Row],[Budget Remaining]]&gt;40000,"Safe",IF(Table1[[#This Row],[Budget Remaining]]&gt;20000,"Managed",IF(Table1[[#This Row],[Budget Remaining]]&gt;5000,"Critical","Refill")))</f>
        <v>Refill</v>
      </c>
    </row>
    <row r="290" spans="1:13" x14ac:dyDescent="0.3">
      <c r="A290" t="s">
        <v>324</v>
      </c>
      <c r="B290" t="s">
        <v>41</v>
      </c>
      <c r="C290" t="s">
        <v>37</v>
      </c>
      <c r="D290" t="s">
        <v>182</v>
      </c>
      <c r="E290">
        <v>27195</v>
      </c>
      <c r="F290" t="s">
        <v>10</v>
      </c>
      <c r="G290" t="s">
        <v>2</v>
      </c>
      <c r="H290">
        <v>37920</v>
      </c>
      <c r="I290">
        <v>10725</v>
      </c>
      <c r="J290" t="s">
        <v>67</v>
      </c>
      <c r="K290" t="s">
        <v>323</v>
      </c>
      <c r="L290" t="str">
        <f t="shared" si="7"/>
        <v>2026</v>
      </c>
      <c r="M290" t="str">
        <f>IF(Table1[[#This Row],[Budget Remaining]]&gt;40000,"Safe",IF(Table1[[#This Row],[Budget Remaining]]&gt;20000,"Managed",IF(Table1[[#This Row],[Budget Remaining]]&gt;5000,"Critical","Refill")))</f>
        <v>Critical</v>
      </c>
    </row>
    <row r="291" spans="1:13" x14ac:dyDescent="0.3">
      <c r="A291" t="s">
        <v>322</v>
      </c>
      <c r="B291" t="s">
        <v>41</v>
      </c>
      <c r="C291" t="s">
        <v>69</v>
      </c>
      <c r="D291" t="s">
        <v>94</v>
      </c>
      <c r="E291">
        <v>25311</v>
      </c>
      <c r="F291" t="s">
        <v>3</v>
      </c>
      <c r="G291" t="s">
        <v>2</v>
      </c>
      <c r="H291">
        <v>33440</v>
      </c>
      <c r="I291">
        <v>8129</v>
      </c>
      <c r="J291" t="s">
        <v>15</v>
      </c>
      <c r="K291" t="s">
        <v>321</v>
      </c>
      <c r="L291" t="str">
        <f t="shared" si="7"/>
        <v>2026</v>
      </c>
      <c r="M291" t="str">
        <f>IF(Table1[[#This Row],[Budget Remaining]]&gt;40000,"Safe",IF(Table1[[#This Row],[Budget Remaining]]&gt;20000,"Managed",IF(Table1[[#This Row],[Budget Remaining]]&gt;5000,"Critical","Refill")))</f>
        <v>Critical</v>
      </c>
    </row>
    <row r="292" spans="1:13" x14ac:dyDescent="0.3">
      <c r="A292" t="s">
        <v>320</v>
      </c>
      <c r="B292" t="s">
        <v>80</v>
      </c>
      <c r="C292" t="s">
        <v>69</v>
      </c>
      <c r="D292" t="s">
        <v>88</v>
      </c>
      <c r="E292">
        <v>8832</v>
      </c>
      <c r="F292" t="s">
        <v>10</v>
      </c>
      <c r="G292" t="s">
        <v>2</v>
      </c>
      <c r="H292">
        <v>10064</v>
      </c>
      <c r="I292">
        <v>1232</v>
      </c>
      <c r="J292" t="s">
        <v>100</v>
      </c>
      <c r="K292" t="s">
        <v>319</v>
      </c>
      <c r="L292" t="str">
        <f t="shared" si="7"/>
        <v>2026</v>
      </c>
      <c r="M292" t="str">
        <f>IF(Table1[[#This Row],[Budget Remaining]]&gt;40000,"Safe",IF(Table1[[#This Row],[Budget Remaining]]&gt;20000,"Managed",IF(Table1[[#This Row],[Budget Remaining]]&gt;5000,"Critical","Refill")))</f>
        <v>Refill</v>
      </c>
    </row>
    <row r="293" spans="1:13" x14ac:dyDescent="0.3">
      <c r="A293" t="s">
        <v>318</v>
      </c>
      <c r="B293" t="s">
        <v>80</v>
      </c>
      <c r="C293" t="s">
        <v>69</v>
      </c>
      <c r="D293" t="s">
        <v>88</v>
      </c>
      <c r="E293">
        <v>9528</v>
      </c>
      <c r="F293" t="s">
        <v>10</v>
      </c>
      <c r="G293" t="s">
        <v>2</v>
      </c>
      <c r="H293">
        <v>10372</v>
      </c>
      <c r="I293">
        <v>844</v>
      </c>
      <c r="J293" t="s">
        <v>15</v>
      </c>
      <c r="K293" t="s">
        <v>317</v>
      </c>
      <c r="L293" t="str">
        <f t="shared" si="7"/>
        <v>2026</v>
      </c>
      <c r="M293" t="str">
        <f>IF(Table1[[#This Row],[Budget Remaining]]&gt;40000,"Safe",IF(Table1[[#This Row],[Budget Remaining]]&gt;20000,"Managed",IF(Table1[[#This Row],[Budget Remaining]]&gt;5000,"Critical","Refill")))</f>
        <v>Refill</v>
      </c>
    </row>
    <row r="294" spans="1:13" x14ac:dyDescent="0.3">
      <c r="A294" t="s">
        <v>316</v>
      </c>
      <c r="B294" t="s">
        <v>80</v>
      </c>
      <c r="C294" t="s">
        <v>26</v>
      </c>
      <c r="D294" t="s">
        <v>315</v>
      </c>
      <c r="E294">
        <v>103101</v>
      </c>
      <c r="F294" t="s">
        <v>35</v>
      </c>
      <c r="G294" t="s">
        <v>2</v>
      </c>
      <c r="H294">
        <v>132933</v>
      </c>
      <c r="I294">
        <v>29832</v>
      </c>
      <c r="J294" t="s">
        <v>1</v>
      </c>
      <c r="K294" t="s">
        <v>314</v>
      </c>
      <c r="L294" t="str">
        <f t="shared" si="7"/>
        <v>2026</v>
      </c>
      <c r="M294" t="str">
        <f>IF(Table1[[#This Row],[Budget Remaining]]&gt;40000,"Safe",IF(Table1[[#This Row],[Budget Remaining]]&gt;20000,"Managed",IF(Table1[[#This Row],[Budget Remaining]]&gt;5000,"Critical","Refill")))</f>
        <v>Managed</v>
      </c>
    </row>
    <row r="295" spans="1:13" x14ac:dyDescent="0.3">
      <c r="A295" t="s">
        <v>313</v>
      </c>
      <c r="B295" t="s">
        <v>80</v>
      </c>
      <c r="C295" s="1" t="s">
        <v>12</v>
      </c>
      <c r="D295" t="s">
        <v>312</v>
      </c>
      <c r="E295">
        <v>25408</v>
      </c>
      <c r="F295" t="s">
        <v>35</v>
      </c>
      <c r="G295" t="s">
        <v>2</v>
      </c>
      <c r="H295">
        <v>32242</v>
      </c>
      <c r="I295">
        <v>6834</v>
      </c>
      <c r="J295" t="s">
        <v>15</v>
      </c>
      <c r="K295" t="s">
        <v>311</v>
      </c>
      <c r="L295" t="str">
        <f t="shared" si="7"/>
        <v>2026</v>
      </c>
      <c r="M295" t="str">
        <f>IF(Table1[[#This Row],[Budget Remaining]]&gt;40000,"Safe",IF(Table1[[#This Row],[Budget Remaining]]&gt;20000,"Managed",IF(Table1[[#This Row],[Budget Remaining]]&gt;5000,"Critical","Refill")))</f>
        <v>Critical</v>
      </c>
    </row>
    <row r="296" spans="1:13" x14ac:dyDescent="0.3">
      <c r="A296" t="s">
        <v>310</v>
      </c>
      <c r="B296" t="s">
        <v>80</v>
      </c>
      <c r="C296" t="s">
        <v>32</v>
      </c>
      <c r="D296" t="s">
        <v>164</v>
      </c>
      <c r="E296">
        <v>12463</v>
      </c>
      <c r="F296" t="s">
        <v>10</v>
      </c>
      <c r="G296" t="s">
        <v>2</v>
      </c>
      <c r="H296">
        <v>18498</v>
      </c>
      <c r="I296">
        <v>6035</v>
      </c>
      <c r="J296" t="s">
        <v>18</v>
      </c>
      <c r="K296" t="s">
        <v>309</v>
      </c>
      <c r="L296" t="str">
        <f t="shared" si="7"/>
        <v>2026</v>
      </c>
      <c r="M296" t="str">
        <f>IF(Table1[[#This Row],[Budget Remaining]]&gt;40000,"Safe",IF(Table1[[#This Row],[Budget Remaining]]&gt;20000,"Managed",IF(Table1[[#This Row],[Budget Remaining]]&gt;5000,"Critical","Refill")))</f>
        <v>Critical</v>
      </c>
    </row>
    <row r="297" spans="1:13" x14ac:dyDescent="0.3">
      <c r="A297" t="s">
        <v>308</v>
      </c>
      <c r="B297" t="s">
        <v>80</v>
      </c>
      <c r="C297" t="s">
        <v>69</v>
      </c>
      <c r="D297" t="s">
        <v>88</v>
      </c>
      <c r="E297">
        <v>10151</v>
      </c>
      <c r="F297" t="s">
        <v>19</v>
      </c>
      <c r="G297" t="s">
        <v>24</v>
      </c>
      <c r="H297">
        <v>12525</v>
      </c>
      <c r="I297">
        <v>2374</v>
      </c>
      <c r="J297" t="s">
        <v>9</v>
      </c>
      <c r="K297" t="s">
        <v>307</v>
      </c>
      <c r="L297" t="str">
        <f t="shared" si="7"/>
        <v>2026</v>
      </c>
      <c r="M297" t="str">
        <f>IF(Table1[[#This Row],[Budget Remaining]]&gt;40000,"Safe",IF(Table1[[#This Row],[Budget Remaining]]&gt;20000,"Managed",IF(Table1[[#This Row],[Budget Remaining]]&gt;5000,"Critical","Refill")))</f>
        <v>Refill</v>
      </c>
    </row>
    <row r="298" spans="1:13" x14ac:dyDescent="0.3">
      <c r="A298" t="s">
        <v>306</v>
      </c>
      <c r="B298" t="s">
        <v>55</v>
      </c>
      <c r="C298" t="s">
        <v>26</v>
      </c>
      <c r="D298" t="s">
        <v>61</v>
      </c>
      <c r="E298">
        <v>163831</v>
      </c>
      <c r="F298" t="s">
        <v>35</v>
      </c>
      <c r="G298" t="s">
        <v>24</v>
      </c>
      <c r="H298">
        <v>190289</v>
      </c>
      <c r="I298">
        <v>26458</v>
      </c>
      <c r="J298" t="s">
        <v>1</v>
      </c>
      <c r="K298" t="s">
        <v>305</v>
      </c>
      <c r="L298" t="str">
        <f t="shared" si="7"/>
        <v>2026</v>
      </c>
      <c r="M298" t="str">
        <f>IF(Table1[[#This Row],[Budget Remaining]]&gt;40000,"Safe",IF(Table1[[#This Row],[Budget Remaining]]&gt;20000,"Managed",IF(Table1[[#This Row],[Budget Remaining]]&gt;5000,"Critical","Refill")))</f>
        <v>Managed</v>
      </c>
    </row>
    <row r="299" spans="1:13" x14ac:dyDescent="0.3">
      <c r="A299" t="s">
        <v>304</v>
      </c>
      <c r="B299" t="s">
        <v>55</v>
      </c>
      <c r="C299" t="s">
        <v>5</v>
      </c>
      <c r="D299" t="s">
        <v>74</v>
      </c>
      <c r="E299">
        <v>43253</v>
      </c>
      <c r="F299" t="s">
        <v>3</v>
      </c>
      <c r="G299" t="s">
        <v>2</v>
      </c>
      <c r="H299">
        <v>51014</v>
      </c>
      <c r="I299">
        <v>7761</v>
      </c>
      <c r="J299" t="s">
        <v>44</v>
      </c>
      <c r="K299" t="s">
        <v>303</v>
      </c>
      <c r="L299" t="str">
        <f>SUBSTITUTE(2024,1,1)</f>
        <v>2024</v>
      </c>
      <c r="M299" t="str">
        <f>IF(Table1[[#This Row],[Budget Remaining]]&gt;40000,"Safe",IF(Table1[[#This Row],[Budget Remaining]]&gt;20000,"Managed",IF(Table1[[#This Row],[Budget Remaining]]&gt;5000,"Critical","Refill")))</f>
        <v>Critical</v>
      </c>
    </row>
    <row r="300" spans="1:13" x14ac:dyDescent="0.3">
      <c r="A300" t="s">
        <v>302</v>
      </c>
      <c r="B300" t="s">
        <v>55</v>
      </c>
      <c r="C300" t="s">
        <v>32</v>
      </c>
      <c r="D300" t="s">
        <v>64</v>
      </c>
      <c r="E300">
        <v>11614</v>
      </c>
      <c r="F300" t="s">
        <v>10</v>
      </c>
      <c r="G300" t="s">
        <v>2</v>
      </c>
      <c r="H300">
        <v>16858</v>
      </c>
      <c r="I300">
        <v>5244</v>
      </c>
      <c r="J300" t="s">
        <v>9</v>
      </c>
      <c r="K300" t="s">
        <v>301</v>
      </c>
      <c r="L300" t="str">
        <f t="shared" ref="L300:L308" si="8">SUBSTITUTE(2024,1,1)</f>
        <v>2024</v>
      </c>
      <c r="M300" t="str">
        <f>IF(Table1[[#This Row],[Budget Remaining]]&gt;40000,"Safe",IF(Table1[[#This Row],[Budget Remaining]]&gt;20000,"Managed",IF(Table1[[#This Row],[Budget Remaining]]&gt;5000,"Critical","Refill")))</f>
        <v>Critical</v>
      </c>
    </row>
    <row r="301" spans="1:13" x14ac:dyDescent="0.3">
      <c r="A301" t="s">
        <v>300</v>
      </c>
      <c r="B301" t="s">
        <v>55</v>
      </c>
      <c r="C301" t="s">
        <v>41</v>
      </c>
      <c r="D301" t="s">
        <v>58</v>
      </c>
      <c r="E301">
        <v>15701</v>
      </c>
      <c r="F301" t="s">
        <v>35</v>
      </c>
      <c r="G301" t="s">
        <v>24</v>
      </c>
      <c r="H301">
        <v>19147</v>
      </c>
      <c r="I301">
        <v>3446</v>
      </c>
      <c r="J301" t="s">
        <v>51</v>
      </c>
      <c r="K301" t="s">
        <v>299</v>
      </c>
      <c r="L301" t="str">
        <f t="shared" si="8"/>
        <v>2024</v>
      </c>
      <c r="M301" t="str">
        <f>IF(Table1[[#This Row],[Budget Remaining]]&gt;40000,"Safe",IF(Table1[[#This Row],[Budget Remaining]]&gt;20000,"Managed",IF(Table1[[#This Row],[Budget Remaining]]&gt;5000,"Critical","Refill")))</f>
        <v>Refill</v>
      </c>
    </row>
    <row r="302" spans="1:13" x14ac:dyDescent="0.3">
      <c r="A302" t="s">
        <v>298</v>
      </c>
      <c r="B302" t="s">
        <v>27</v>
      </c>
      <c r="C302" s="1" t="s">
        <v>12</v>
      </c>
      <c r="D302" t="s">
        <v>209</v>
      </c>
      <c r="E302">
        <v>67072</v>
      </c>
      <c r="F302" t="s">
        <v>10</v>
      </c>
      <c r="G302" t="s">
        <v>24</v>
      </c>
      <c r="H302">
        <v>95044</v>
      </c>
      <c r="I302">
        <v>27972</v>
      </c>
      <c r="J302" t="s">
        <v>30</v>
      </c>
      <c r="K302" t="s">
        <v>297</v>
      </c>
      <c r="L302" t="str">
        <f t="shared" si="8"/>
        <v>2024</v>
      </c>
      <c r="M302" t="str">
        <f>IF(Table1[[#This Row],[Budget Remaining]]&gt;40000,"Safe",IF(Table1[[#This Row],[Budget Remaining]]&gt;20000,"Managed",IF(Table1[[#This Row],[Budget Remaining]]&gt;5000,"Critical","Refill")))</f>
        <v>Managed</v>
      </c>
    </row>
    <row r="303" spans="1:13" x14ac:dyDescent="0.3">
      <c r="A303" t="s">
        <v>296</v>
      </c>
      <c r="B303" t="s">
        <v>27</v>
      </c>
      <c r="C303" s="1" t="s">
        <v>12</v>
      </c>
      <c r="D303" t="s">
        <v>209</v>
      </c>
      <c r="E303">
        <v>44344</v>
      </c>
      <c r="F303" t="s">
        <v>19</v>
      </c>
      <c r="G303" t="s">
        <v>2</v>
      </c>
      <c r="H303">
        <v>45234</v>
      </c>
      <c r="I303">
        <v>890</v>
      </c>
      <c r="J303" t="s">
        <v>83</v>
      </c>
      <c r="K303" t="s">
        <v>295</v>
      </c>
      <c r="L303" t="str">
        <f t="shared" si="8"/>
        <v>2024</v>
      </c>
      <c r="M303" t="str">
        <f>IF(Table1[[#This Row],[Budget Remaining]]&gt;40000,"Safe",IF(Table1[[#This Row],[Budget Remaining]]&gt;20000,"Managed",IF(Table1[[#This Row],[Budget Remaining]]&gt;5000,"Critical","Refill")))</f>
        <v>Refill</v>
      </c>
    </row>
    <row r="304" spans="1:13" x14ac:dyDescent="0.3">
      <c r="A304" t="s">
        <v>294</v>
      </c>
      <c r="B304" t="s">
        <v>27</v>
      </c>
      <c r="C304" s="1" t="s">
        <v>12</v>
      </c>
      <c r="D304" t="s">
        <v>209</v>
      </c>
      <c r="E304">
        <v>82735</v>
      </c>
      <c r="F304" t="s">
        <v>3</v>
      </c>
      <c r="G304" t="s">
        <v>2</v>
      </c>
      <c r="H304">
        <v>83916</v>
      </c>
      <c r="I304">
        <v>1181</v>
      </c>
      <c r="J304" t="s">
        <v>51</v>
      </c>
      <c r="K304" t="s">
        <v>293</v>
      </c>
      <c r="L304" t="str">
        <f t="shared" si="8"/>
        <v>2024</v>
      </c>
      <c r="M304" t="str">
        <f>IF(Table1[[#This Row],[Budget Remaining]]&gt;40000,"Safe",IF(Table1[[#This Row],[Budget Remaining]]&gt;20000,"Managed",IF(Table1[[#This Row],[Budget Remaining]]&gt;5000,"Critical","Refill")))</f>
        <v>Refill</v>
      </c>
    </row>
    <row r="305" spans="1:13" x14ac:dyDescent="0.3">
      <c r="A305" t="s">
        <v>292</v>
      </c>
      <c r="B305" t="s">
        <v>27</v>
      </c>
      <c r="C305" t="s">
        <v>21</v>
      </c>
      <c r="D305" t="s">
        <v>45</v>
      </c>
      <c r="E305">
        <v>5152</v>
      </c>
      <c r="F305" t="s">
        <v>10</v>
      </c>
      <c r="G305" t="s">
        <v>2</v>
      </c>
      <c r="H305">
        <v>7089</v>
      </c>
      <c r="I305">
        <v>1937</v>
      </c>
      <c r="J305" t="s">
        <v>67</v>
      </c>
      <c r="K305" t="s">
        <v>291</v>
      </c>
      <c r="L305" t="str">
        <f t="shared" si="8"/>
        <v>2024</v>
      </c>
      <c r="M305" t="str">
        <f>IF(Table1[[#This Row],[Budget Remaining]]&gt;40000,"Safe",IF(Table1[[#This Row],[Budget Remaining]]&gt;20000,"Managed",IF(Table1[[#This Row],[Budget Remaining]]&gt;5000,"Critical","Refill")))</f>
        <v>Refill</v>
      </c>
    </row>
    <row r="306" spans="1:13" x14ac:dyDescent="0.3">
      <c r="A306" t="s">
        <v>290</v>
      </c>
      <c r="B306" t="s">
        <v>27</v>
      </c>
      <c r="C306" t="s">
        <v>41</v>
      </c>
      <c r="D306" t="s">
        <v>40</v>
      </c>
      <c r="E306">
        <v>100728</v>
      </c>
      <c r="F306" t="s">
        <v>35</v>
      </c>
      <c r="G306" t="s">
        <v>2</v>
      </c>
      <c r="H306">
        <v>123831</v>
      </c>
      <c r="I306">
        <v>23103</v>
      </c>
      <c r="J306" t="s">
        <v>9</v>
      </c>
      <c r="K306" t="s">
        <v>289</v>
      </c>
      <c r="L306" t="str">
        <f t="shared" si="8"/>
        <v>2024</v>
      </c>
      <c r="M306" t="str">
        <f>IF(Table1[[#This Row],[Budget Remaining]]&gt;40000,"Safe",IF(Table1[[#This Row],[Budget Remaining]]&gt;20000,"Managed",IF(Table1[[#This Row],[Budget Remaining]]&gt;5000,"Critical","Refill")))</f>
        <v>Managed</v>
      </c>
    </row>
    <row r="307" spans="1:13" x14ac:dyDescent="0.3">
      <c r="A307" t="s">
        <v>288</v>
      </c>
      <c r="B307" t="s">
        <v>27</v>
      </c>
      <c r="C307" t="s">
        <v>41</v>
      </c>
      <c r="D307" t="s">
        <v>40</v>
      </c>
      <c r="E307">
        <v>88979</v>
      </c>
      <c r="F307" t="s">
        <v>3</v>
      </c>
      <c r="G307" t="s">
        <v>2</v>
      </c>
      <c r="H307">
        <v>102661</v>
      </c>
      <c r="I307">
        <v>13682</v>
      </c>
      <c r="J307" t="s">
        <v>83</v>
      </c>
      <c r="K307" t="s">
        <v>287</v>
      </c>
      <c r="L307" t="str">
        <f t="shared" si="8"/>
        <v>2024</v>
      </c>
      <c r="M307" t="str">
        <f>IF(Table1[[#This Row],[Budget Remaining]]&gt;40000,"Safe",IF(Table1[[#This Row],[Budget Remaining]]&gt;20000,"Managed",IF(Table1[[#This Row],[Budget Remaining]]&gt;5000,"Critical","Refill")))</f>
        <v>Critical</v>
      </c>
    </row>
    <row r="308" spans="1:13" x14ac:dyDescent="0.3">
      <c r="A308" t="s">
        <v>286</v>
      </c>
      <c r="B308" t="s">
        <v>27</v>
      </c>
      <c r="C308" t="s">
        <v>21</v>
      </c>
      <c r="D308" t="s">
        <v>45</v>
      </c>
      <c r="E308">
        <v>1762</v>
      </c>
      <c r="F308" t="s">
        <v>10</v>
      </c>
      <c r="G308" t="s">
        <v>2</v>
      </c>
      <c r="H308">
        <v>2365</v>
      </c>
      <c r="I308">
        <v>603</v>
      </c>
      <c r="J308" t="s">
        <v>44</v>
      </c>
      <c r="K308" t="s">
        <v>285</v>
      </c>
      <c r="L308" t="str">
        <f t="shared" si="8"/>
        <v>2024</v>
      </c>
      <c r="M308" t="str">
        <f>IF(Table1[[#This Row],[Budget Remaining]]&gt;40000,"Safe",IF(Table1[[#This Row],[Budget Remaining]]&gt;20000,"Managed",IF(Table1[[#This Row],[Budget Remaining]]&gt;5000,"Critical","Refill")))</f>
        <v>Refill</v>
      </c>
    </row>
    <row r="309" spans="1:13" x14ac:dyDescent="0.3">
      <c r="A309" t="s">
        <v>284</v>
      </c>
      <c r="B309" t="s">
        <v>27</v>
      </c>
      <c r="C309" t="s">
        <v>32</v>
      </c>
      <c r="D309" t="s">
        <v>31</v>
      </c>
      <c r="E309">
        <v>2636</v>
      </c>
      <c r="F309" t="s">
        <v>35</v>
      </c>
      <c r="G309" t="s">
        <v>2</v>
      </c>
      <c r="H309">
        <v>3257</v>
      </c>
      <c r="I309">
        <v>621</v>
      </c>
      <c r="J309" t="s">
        <v>44</v>
      </c>
      <c r="K309" t="s">
        <v>283</v>
      </c>
      <c r="L309" t="str">
        <f t="shared" si="7"/>
        <v>2026</v>
      </c>
      <c r="M309" t="str">
        <f>IF(Table1[[#This Row],[Budget Remaining]]&gt;40000,"Safe",IF(Table1[[#This Row],[Budget Remaining]]&gt;20000,"Managed",IF(Table1[[#This Row],[Budget Remaining]]&gt;5000,"Critical","Refill")))</f>
        <v>Refill</v>
      </c>
    </row>
    <row r="310" spans="1:13" x14ac:dyDescent="0.3">
      <c r="A310" t="s">
        <v>282</v>
      </c>
      <c r="B310" s="1" t="s">
        <v>6</v>
      </c>
      <c r="C310" t="s">
        <v>26</v>
      </c>
      <c r="D310" t="s">
        <v>127</v>
      </c>
      <c r="E310">
        <v>195132</v>
      </c>
      <c r="F310" t="s">
        <v>35</v>
      </c>
      <c r="G310" t="s">
        <v>2</v>
      </c>
      <c r="H310">
        <v>218815</v>
      </c>
      <c r="I310">
        <v>23683</v>
      </c>
      <c r="J310" t="s">
        <v>30</v>
      </c>
      <c r="K310" t="s">
        <v>281</v>
      </c>
      <c r="L310" t="str">
        <f t="shared" si="7"/>
        <v>2026</v>
      </c>
      <c r="M310" t="str">
        <f>IF(Table1[[#This Row],[Budget Remaining]]&gt;40000,"Safe",IF(Table1[[#This Row],[Budget Remaining]]&gt;20000,"Managed",IF(Table1[[#This Row],[Budget Remaining]]&gt;5000,"Critical","Refill")))</f>
        <v>Managed</v>
      </c>
    </row>
    <row r="311" spans="1:13" x14ac:dyDescent="0.3">
      <c r="A311" t="s">
        <v>280</v>
      </c>
      <c r="B311" s="1" t="s">
        <v>6</v>
      </c>
      <c r="C311" s="1" t="s">
        <v>12</v>
      </c>
      <c r="D311" t="s">
        <v>11</v>
      </c>
      <c r="E311">
        <v>106352</v>
      </c>
      <c r="F311" t="s">
        <v>35</v>
      </c>
      <c r="G311" t="s">
        <v>24</v>
      </c>
      <c r="H311">
        <v>123746</v>
      </c>
      <c r="I311">
        <v>17394</v>
      </c>
      <c r="J311" t="s">
        <v>83</v>
      </c>
      <c r="K311" t="s">
        <v>279</v>
      </c>
      <c r="L311" t="str">
        <f t="shared" si="7"/>
        <v>2026</v>
      </c>
      <c r="M311" t="str">
        <f>IF(Table1[[#This Row],[Budget Remaining]]&gt;40000,"Safe",IF(Table1[[#This Row],[Budget Remaining]]&gt;20000,"Managed",IF(Table1[[#This Row],[Budget Remaining]]&gt;5000,"Critical","Refill")))</f>
        <v>Critical</v>
      </c>
    </row>
    <row r="312" spans="1:13" x14ac:dyDescent="0.3">
      <c r="A312" t="s">
        <v>278</v>
      </c>
      <c r="B312" s="1" t="s">
        <v>6</v>
      </c>
      <c r="C312" t="s">
        <v>5</v>
      </c>
      <c r="D312" t="s">
        <v>4</v>
      </c>
      <c r="E312">
        <v>24732</v>
      </c>
      <c r="F312" t="s">
        <v>19</v>
      </c>
      <c r="G312" t="s">
        <v>2</v>
      </c>
      <c r="H312">
        <v>30770</v>
      </c>
      <c r="I312">
        <v>6038</v>
      </c>
      <c r="J312" t="s">
        <v>51</v>
      </c>
      <c r="K312" t="s">
        <v>277</v>
      </c>
      <c r="L312" t="str">
        <f t="shared" si="7"/>
        <v>2026</v>
      </c>
      <c r="M312" t="str">
        <f>IF(Table1[[#This Row],[Budget Remaining]]&gt;40000,"Safe",IF(Table1[[#This Row],[Budget Remaining]]&gt;20000,"Managed",IF(Table1[[#This Row],[Budget Remaining]]&gt;5000,"Critical","Refill")))</f>
        <v>Critical</v>
      </c>
    </row>
    <row r="313" spans="1:13" x14ac:dyDescent="0.3">
      <c r="A313" t="s">
        <v>276</v>
      </c>
      <c r="B313" s="1" t="s">
        <v>6</v>
      </c>
      <c r="C313" t="s">
        <v>21</v>
      </c>
      <c r="D313" t="s">
        <v>20</v>
      </c>
      <c r="E313">
        <v>3523</v>
      </c>
      <c r="F313" t="s">
        <v>19</v>
      </c>
      <c r="G313" t="s">
        <v>24</v>
      </c>
      <c r="H313">
        <v>4161</v>
      </c>
      <c r="I313">
        <v>638</v>
      </c>
      <c r="J313" t="s">
        <v>51</v>
      </c>
      <c r="K313" t="s">
        <v>275</v>
      </c>
      <c r="L313" t="str">
        <f t="shared" si="7"/>
        <v>2026</v>
      </c>
      <c r="M313" t="str">
        <f>IF(Table1[[#This Row],[Budget Remaining]]&gt;40000,"Safe",IF(Table1[[#This Row],[Budget Remaining]]&gt;20000,"Managed",IF(Table1[[#This Row],[Budget Remaining]]&gt;5000,"Critical","Refill")))</f>
        <v>Refill</v>
      </c>
    </row>
    <row r="314" spans="1:13" x14ac:dyDescent="0.3">
      <c r="A314" t="s">
        <v>274</v>
      </c>
      <c r="B314" s="1" t="s">
        <v>6</v>
      </c>
      <c r="C314" t="s">
        <v>5</v>
      </c>
      <c r="D314" t="s">
        <v>4</v>
      </c>
      <c r="E314">
        <v>44308</v>
      </c>
      <c r="F314" t="s">
        <v>3</v>
      </c>
      <c r="G314" t="s">
        <v>2</v>
      </c>
      <c r="H314">
        <v>49405</v>
      </c>
      <c r="I314">
        <v>5097</v>
      </c>
      <c r="J314" t="s">
        <v>100</v>
      </c>
      <c r="K314" t="s">
        <v>273</v>
      </c>
      <c r="L314" t="str">
        <f t="shared" si="7"/>
        <v>2026</v>
      </c>
      <c r="M314" t="str">
        <f>IF(Table1[[#This Row],[Budget Remaining]]&gt;40000,"Safe",IF(Table1[[#This Row],[Budget Remaining]]&gt;20000,"Managed",IF(Table1[[#This Row],[Budget Remaining]]&gt;5000,"Critical","Refill")))</f>
        <v>Critical</v>
      </c>
    </row>
    <row r="315" spans="1:13" x14ac:dyDescent="0.3">
      <c r="A315" t="s">
        <v>272</v>
      </c>
      <c r="B315" s="1" t="s">
        <v>6</v>
      </c>
      <c r="C315" s="1" t="s">
        <v>12</v>
      </c>
      <c r="D315" t="s">
        <v>11</v>
      </c>
      <c r="E315">
        <v>17170</v>
      </c>
      <c r="F315" t="s">
        <v>3</v>
      </c>
      <c r="G315" t="s">
        <v>2</v>
      </c>
      <c r="H315">
        <v>20085</v>
      </c>
      <c r="I315">
        <v>2915</v>
      </c>
      <c r="J315" t="s">
        <v>9</v>
      </c>
      <c r="K315" t="s">
        <v>271</v>
      </c>
      <c r="L315" t="str">
        <f t="shared" si="7"/>
        <v>2026</v>
      </c>
      <c r="M315" t="str">
        <f>IF(Table1[[#This Row],[Budget Remaining]]&gt;40000,"Safe",IF(Table1[[#This Row],[Budget Remaining]]&gt;20000,"Managed",IF(Table1[[#This Row],[Budget Remaining]]&gt;5000,"Critical","Refill")))</f>
        <v>Refill</v>
      </c>
    </row>
    <row r="316" spans="1:13" x14ac:dyDescent="0.3">
      <c r="A316" t="s">
        <v>270</v>
      </c>
      <c r="B316" t="s">
        <v>105</v>
      </c>
      <c r="C316" s="1" t="s">
        <v>12</v>
      </c>
      <c r="D316" t="s">
        <v>197</v>
      </c>
      <c r="E316">
        <v>93509</v>
      </c>
      <c r="F316" t="s">
        <v>10</v>
      </c>
      <c r="G316" t="s">
        <v>2</v>
      </c>
      <c r="H316">
        <v>131907</v>
      </c>
      <c r="I316">
        <v>38398</v>
      </c>
      <c r="J316" t="s">
        <v>9</v>
      </c>
      <c r="K316" t="s">
        <v>269</v>
      </c>
      <c r="L316" t="str">
        <f t="shared" si="7"/>
        <v>2026</v>
      </c>
      <c r="M316" t="str">
        <f>IF(Table1[[#This Row],[Budget Remaining]]&gt;40000,"Safe",IF(Table1[[#This Row],[Budget Remaining]]&gt;20000,"Managed",IF(Table1[[#This Row],[Budget Remaining]]&gt;5000,"Critical","Refill")))</f>
        <v>Managed</v>
      </c>
    </row>
    <row r="317" spans="1:13" x14ac:dyDescent="0.3">
      <c r="A317" t="s">
        <v>268</v>
      </c>
      <c r="B317" t="s">
        <v>105</v>
      </c>
      <c r="C317" s="1" t="s">
        <v>12</v>
      </c>
      <c r="D317" t="s">
        <v>197</v>
      </c>
      <c r="E317">
        <v>94435</v>
      </c>
      <c r="F317" t="s">
        <v>35</v>
      </c>
      <c r="G317" t="s">
        <v>2</v>
      </c>
      <c r="H317">
        <v>118863</v>
      </c>
      <c r="I317">
        <v>24428</v>
      </c>
      <c r="J317" t="s">
        <v>30</v>
      </c>
      <c r="K317" t="s">
        <v>267</v>
      </c>
      <c r="L317" t="str">
        <f t="shared" si="7"/>
        <v>2026</v>
      </c>
      <c r="M317" t="str">
        <f>IF(Table1[[#This Row],[Budget Remaining]]&gt;40000,"Safe",IF(Table1[[#This Row],[Budget Remaining]]&gt;20000,"Managed",IF(Table1[[#This Row],[Budget Remaining]]&gt;5000,"Critical","Refill")))</f>
        <v>Managed</v>
      </c>
    </row>
    <row r="318" spans="1:13" x14ac:dyDescent="0.3">
      <c r="A318" t="s">
        <v>266</v>
      </c>
      <c r="B318" t="s">
        <v>105</v>
      </c>
      <c r="C318" t="s">
        <v>5</v>
      </c>
      <c r="D318" t="s">
        <v>194</v>
      </c>
      <c r="E318">
        <v>44983</v>
      </c>
      <c r="F318" t="s">
        <v>19</v>
      </c>
      <c r="G318" t="s">
        <v>2</v>
      </c>
      <c r="H318">
        <v>64381</v>
      </c>
      <c r="I318">
        <v>19398</v>
      </c>
      <c r="J318" t="s">
        <v>30</v>
      </c>
      <c r="K318" t="s">
        <v>265</v>
      </c>
      <c r="L318" t="str">
        <f t="shared" si="7"/>
        <v>2026</v>
      </c>
      <c r="M318" t="str">
        <f>IF(Table1[[#This Row],[Budget Remaining]]&gt;40000,"Safe",IF(Table1[[#This Row],[Budget Remaining]]&gt;20000,"Managed",IF(Table1[[#This Row],[Budget Remaining]]&gt;5000,"Critical","Refill")))</f>
        <v>Critical</v>
      </c>
    </row>
    <row r="319" spans="1:13" x14ac:dyDescent="0.3">
      <c r="A319" t="s">
        <v>264</v>
      </c>
      <c r="B319" t="s">
        <v>105</v>
      </c>
      <c r="C319" s="1" t="s">
        <v>12</v>
      </c>
      <c r="D319" t="s">
        <v>197</v>
      </c>
      <c r="E319">
        <v>94954</v>
      </c>
      <c r="F319" t="s">
        <v>35</v>
      </c>
      <c r="G319" t="s">
        <v>2</v>
      </c>
      <c r="H319">
        <v>116541</v>
      </c>
      <c r="I319">
        <v>21587</v>
      </c>
      <c r="J319" t="s">
        <v>1</v>
      </c>
      <c r="K319" t="s">
        <v>263</v>
      </c>
      <c r="L319" t="str">
        <f t="shared" si="7"/>
        <v>2026</v>
      </c>
      <c r="M319" t="str">
        <f>IF(Table1[[#This Row],[Budget Remaining]]&gt;40000,"Safe",IF(Table1[[#This Row],[Budget Remaining]]&gt;20000,"Managed",IF(Table1[[#This Row],[Budget Remaining]]&gt;5000,"Critical","Refill")))</f>
        <v>Managed</v>
      </c>
    </row>
    <row r="320" spans="1:13" x14ac:dyDescent="0.3">
      <c r="A320" t="s">
        <v>262</v>
      </c>
      <c r="B320" t="s">
        <v>105</v>
      </c>
      <c r="C320" s="1" t="s">
        <v>12</v>
      </c>
      <c r="D320" t="s">
        <v>197</v>
      </c>
      <c r="E320">
        <v>38901</v>
      </c>
      <c r="F320" t="s">
        <v>35</v>
      </c>
      <c r="G320" t="s">
        <v>24</v>
      </c>
      <c r="H320">
        <v>53335</v>
      </c>
      <c r="I320">
        <v>14434</v>
      </c>
      <c r="J320" t="s">
        <v>30</v>
      </c>
      <c r="K320" t="s">
        <v>261</v>
      </c>
      <c r="L320" t="str">
        <f>SUBSTITUTE(2025,1,1)</f>
        <v>2025</v>
      </c>
      <c r="M320" t="str">
        <f>IF(Table1[[#This Row],[Budget Remaining]]&gt;40000,"Safe",IF(Table1[[#This Row],[Budget Remaining]]&gt;20000,"Managed",IF(Table1[[#This Row],[Budget Remaining]]&gt;5000,"Critical","Refill")))</f>
        <v>Critical</v>
      </c>
    </row>
    <row r="321" spans="1:13" x14ac:dyDescent="0.3">
      <c r="A321" t="s">
        <v>260</v>
      </c>
      <c r="B321" t="s">
        <v>41</v>
      </c>
      <c r="C321" t="s">
        <v>32</v>
      </c>
      <c r="D321" t="s">
        <v>250</v>
      </c>
      <c r="E321">
        <v>14830</v>
      </c>
      <c r="F321" t="s">
        <v>19</v>
      </c>
      <c r="G321" t="s">
        <v>2</v>
      </c>
      <c r="H321">
        <v>18797</v>
      </c>
      <c r="I321">
        <v>3967</v>
      </c>
      <c r="J321" t="s">
        <v>83</v>
      </c>
      <c r="K321" t="s">
        <v>259</v>
      </c>
      <c r="L321" t="str">
        <f t="shared" ref="L321:L335" si="9">SUBSTITUTE(2025,1,1)</f>
        <v>2025</v>
      </c>
      <c r="M321" t="str">
        <f>IF(Table1[[#This Row],[Budget Remaining]]&gt;40000,"Safe",IF(Table1[[#This Row],[Budget Remaining]]&gt;20000,"Managed",IF(Table1[[#This Row],[Budget Remaining]]&gt;5000,"Critical","Refill")))</f>
        <v>Refill</v>
      </c>
    </row>
    <row r="322" spans="1:13" x14ac:dyDescent="0.3">
      <c r="A322" t="s">
        <v>258</v>
      </c>
      <c r="B322" t="s">
        <v>41</v>
      </c>
      <c r="C322" s="1" t="s">
        <v>12</v>
      </c>
      <c r="D322" t="s">
        <v>91</v>
      </c>
      <c r="E322">
        <v>119073</v>
      </c>
      <c r="F322" t="s">
        <v>19</v>
      </c>
      <c r="G322" t="s">
        <v>2</v>
      </c>
      <c r="H322">
        <v>159243</v>
      </c>
      <c r="I322">
        <v>40170</v>
      </c>
      <c r="J322" t="s">
        <v>51</v>
      </c>
      <c r="K322" t="s">
        <v>257</v>
      </c>
      <c r="L322" t="str">
        <f t="shared" si="9"/>
        <v>2025</v>
      </c>
      <c r="M322" t="str">
        <f>IF(Table1[[#This Row],[Budget Remaining]]&gt;40000,"Safe",IF(Table1[[#This Row],[Budget Remaining]]&gt;20000,"Managed",IF(Table1[[#This Row],[Budget Remaining]]&gt;5000,"Critical","Refill")))</f>
        <v>Safe</v>
      </c>
    </row>
    <row r="323" spans="1:13" x14ac:dyDescent="0.3">
      <c r="A323" t="s">
        <v>256</v>
      </c>
      <c r="B323" t="s">
        <v>41</v>
      </c>
      <c r="C323" t="s">
        <v>21</v>
      </c>
      <c r="D323" t="s">
        <v>255</v>
      </c>
      <c r="E323">
        <v>4718</v>
      </c>
      <c r="F323" t="s">
        <v>35</v>
      </c>
      <c r="G323" t="s">
        <v>2</v>
      </c>
      <c r="H323">
        <v>6635</v>
      </c>
      <c r="I323">
        <v>1917</v>
      </c>
      <c r="J323" t="s">
        <v>1</v>
      </c>
      <c r="K323" t="s">
        <v>254</v>
      </c>
      <c r="L323" t="str">
        <f t="shared" si="9"/>
        <v>2025</v>
      </c>
      <c r="M323" t="str">
        <f>IF(Table1[[#This Row],[Budget Remaining]]&gt;40000,"Safe",IF(Table1[[#This Row],[Budget Remaining]]&gt;20000,"Managed",IF(Table1[[#This Row],[Budget Remaining]]&gt;5000,"Critical","Refill")))</f>
        <v>Refill</v>
      </c>
    </row>
    <row r="324" spans="1:13" x14ac:dyDescent="0.3">
      <c r="A324" t="s">
        <v>253</v>
      </c>
      <c r="B324" t="s">
        <v>41</v>
      </c>
      <c r="C324" t="s">
        <v>69</v>
      </c>
      <c r="D324" t="s">
        <v>94</v>
      </c>
      <c r="E324">
        <v>4305</v>
      </c>
      <c r="F324" t="s">
        <v>35</v>
      </c>
      <c r="G324" t="s">
        <v>2</v>
      </c>
      <c r="H324">
        <v>4567</v>
      </c>
      <c r="I324">
        <v>262</v>
      </c>
      <c r="J324" t="s">
        <v>1</v>
      </c>
      <c r="K324" t="s">
        <v>252</v>
      </c>
      <c r="L324" t="str">
        <f t="shared" si="9"/>
        <v>2025</v>
      </c>
      <c r="M324" t="str">
        <f>IF(Table1[[#This Row],[Budget Remaining]]&gt;40000,"Safe",IF(Table1[[#This Row],[Budget Remaining]]&gt;20000,"Managed",IF(Table1[[#This Row],[Budget Remaining]]&gt;5000,"Critical","Refill")))</f>
        <v>Refill</v>
      </c>
    </row>
    <row r="325" spans="1:13" x14ac:dyDescent="0.3">
      <c r="A325" t="s">
        <v>251</v>
      </c>
      <c r="B325" t="s">
        <v>41</v>
      </c>
      <c r="C325" t="s">
        <v>32</v>
      </c>
      <c r="D325" t="s">
        <v>250</v>
      </c>
      <c r="E325">
        <v>5134</v>
      </c>
      <c r="F325" t="s">
        <v>10</v>
      </c>
      <c r="G325" t="s">
        <v>2</v>
      </c>
      <c r="H325">
        <v>6227</v>
      </c>
      <c r="I325">
        <v>1093</v>
      </c>
      <c r="J325" t="s">
        <v>18</v>
      </c>
      <c r="K325" t="s">
        <v>249</v>
      </c>
      <c r="L325" t="str">
        <f t="shared" si="9"/>
        <v>2025</v>
      </c>
      <c r="M325" t="str">
        <f>IF(Table1[[#This Row],[Budget Remaining]]&gt;40000,"Safe",IF(Table1[[#This Row],[Budget Remaining]]&gt;20000,"Managed",IF(Table1[[#This Row],[Budget Remaining]]&gt;5000,"Critical","Refill")))</f>
        <v>Refill</v>
      </c>
    </row>
    <row r="326" spans="1:13" x14ac:dyDescent="0.3">
      <c r="A326" t="s">
        <v>248</v>
      </c>
      <c r="B326" t="s">
        <v>41</v>
      </c>
      <c r="C326" t="s">
        <v>41</v>
      </c>
      <c r="D326" t="s">
        <v>101</v>
      </c>
      <c r="E326">
        <v>86871</v>
      </c>
      <c r="F326" t="s">
        <v>35</v>
      </c>
      <c r="G326" t="s">
        <v>2</v>
      </c>
      <c r="H326">
        <v>102372</v>
      </c>
      <c r="I326">
        <v>15501</v>
      </c>
      <c r="J326" t="s">
        <v>15</v>
      </c>
      <c r="K326" t="s">
        <v>247</v>
      </c>
      <c r="L326" t="str">
        <f t="shared" si="9"/>
        <v>2025</v>
      </c>
      <c r="M326" t="str">
        <f>IF(Table1[[#This Row],[Budget Remaining]]&gt;40000,"Safe",IF(Table1[[#This Row],[Budget Remaining]]&gt;20000,"Managed",IF(Table1[[#This Row],[Budget Remaining]]&gt;5000,"Critical","Refill")))</f>
        <v>Critical</v>
      </c>
    </row>
    <row r="327" spans="1:13" x14ac:dyDescent="0.3">
      <c r="A327" t="s">
        <v>246</v>
      </c>
      <c r="B327" t="s">
        <v>41</v>
      </c>
      <c r="C327" t="s">
        <v>37</v>
      </c>
      <c r="D327" t="s">
        <v>182</v>
      </c>
      <c r="E327">
        <v>19638</v>
      </c>
      <c r="F327" t="s">
        <v>35</v>
      </c>
      <c r="G327" t="s">
        <v>2</v>
      </c>
      <c r="H327">
        <v>23146</v>
      </c>
      <c r="I327">
        <v>3508</v>
      </c>
      <c r="J327" t="s">
        <v>9</v>
      </c>
      <c r="K327" t="s">
        <v>245</v>
      </c>
      <c r="L327" t="str">
        <f t="shared" si="9"/>
        <v>2025</v>
      </c>
      <c r="M327" t="str">
        <f>IF(Table1[[#This Row],[Budget Remaining]]&gt;40000,"Safe",IF(Table1[[#This Row],[Budget Remaining]]&gt;20000,"Managed",IF(Table1[[#This Row],[Budget Remaining]]&gt;5000,"Critical","Refill")))</f>
        <v>Refill</v>
      </c>
    </row>
    <row r="328" spans="1:13" x14ac:dyDescent="0.3">
      <c r="A328" t="s">
        <v>244</v>
      </c>
      <c r="B328" t="s">
        <v>41</v>
      </c>
      <c r="C328" t="s">
        <v>5</v>
      </c>
      <c r="D328" t="s">
        <v>175</v>
      </c>
      <c r="E328">
        <v>10261</v>
      </c>
      <c r="F328" t="s">
        <v>35</v>
      </c>
      <c r="G328" t="s">
        <v>2</v>
      </c>
      <c r="H328">
        <v>13990</v>
      </c>
      <c r="I328">
        <v>3729</v>
      </c>
      <c r="J328" t="s">
        <v>15</v>
      </c>
      <c r="K328" t="s">
        <v>243</v>
      </c>
      <c r="L328" t="str">
        <f t="shared" si="9"/>
        <v>2025</v>
      </c>
      <c r="M328" t="str">
        <f>IF(Table1[[#This Row],[Budget Remaining]]&gt;40000,"Safe",IF(Table1[[#This Row],[Budget Remaining]]&gt;20000,"Managed",IF(Table1[[#This Row],[Budget Remaining]]&gt;5000,"Critical","Refill")))</f>
        <v>Refill</v>
      </c>
    </row>
    <row r="329" spans="1:13" x14ac:dyDescent="0.3">
      <c r="A329" t="s">
        <v>242</v>
      </c>
      <c r="B329" t="s">
        <v>80</v>
      </c>
      <c r="C329" t="s">
        <v>21</v>
      </c>
      <c r="D329" t="s">
        <v>79</v>
      </c>
      <c r="E329">
        <v>7263</v>
      </c>
      <c r="F329" t="s">
        <v>35</v>
      </c>
      <c r="G329" t="s">
        <v>2</v>
      </c>
      <c r="H329">
        <v>10544</v>
      </c>
      <c r="I329">
        <v>3281</v>
      </c>
      <c r="J329" t="s">
        <v>67</v>
      </c>
      <c r="K329" t="s">
        <v>241</v>
      </c>
      <c r="L329" t="str">
        <f t="shared" si="9"/>
        <v>2025</v>
      </c>
      <c r="M329" t="str">
        <f>IF(Table1[[#This Row],[Budget Remaining]]&gt;40000,"Safe",IF(Table1[[#This Row],[Budget Remaining]]&gt;20000,"Managed",IF(Table1[[#This Row],[Budget Remaining]]&gt;5000,"Critical","Refill")))</f>
        <v>Refill</v>
      </c>
    </row>
    <row r="330" spans="1:13" x14ac:dyDescent="0.3">
      <c r="A330" t="s">
        <v>240</v>
      </c>
      <c r="B330" t="s">
        <v>80</v>
      </c>
      <c r="C330" t="s">
        <v>32</v>
      </c>
      <c r="D330" t="s">
        <v>164</v>
      </c>
      <c r="E330">
        <v>1627</v>
      </c>
      <c r="F330" t="s">
        <v>19</v>
      </c>
      <c r="G330" t="s">
        <v>2</v>
      </c>
      <c r="H330">
        <v>1746</v>
      </c>
      <c r="I330">
        <v>119</v>
      </c>
      <c r="J330" t="s">
        <v>18</v>
      </c>
      <c r="K330" t="s">
        <v>239</v>
      </c>
      <c r="L330" t="str">
        <f t="shared" si="9"/>
        <v>2025</v>
      </c>
      <c r="M330" t="str">
        <f>IF(Table1[[#This Row],[Budget Remaining]]&gt;40000,"Safe",IF(Table1[[#This Row],[Budget Remaining]]&gt;20000,"Managed",IF(Table1[[#This Row],[Budget Remaining]]&gt;5000,"Critical","Refill")))</f>
        <v>Refill</v>
      </c>
    </row>
    <row r="331" spans="1:13" x14ac:dyDescent="0.3">
      <c r="A331" t="s">
        <v>238</v>
      </c>
      <c r="B331" t="s">
        <v>80</v>
      </c>
      <c r="C331" t="s">
        <v>32</v>
      </c>
      <c r="D331" t="s">
        <v>164</v>
      </c>
      <c r="E331">
        <v>11432</v>
      </c>
      <c r="F331" t="s">
        <v>35</v>
      </c>
      <c r="G331" t="s">
        <v>2</v>
      </c>
      <c r="H331">
        <v>15715</v>
      </c>
      <c r="I331">
        <v>4283</v>
      </c>
      <c r="J331" t="s">
        <v>9</v>
      </c>
      <c r="K331" t="s">
        <v>237</v>
      </c>
      <c r="L331" t="str">
        <f t="shared" si="9"/>
        <v>2025</v>
      </c>
      <c r="M331" t="str">
        <f>IF(Table1[[#This Row],[Budget Remaining]]&gt;40000,"Safe",IF(Table1[[#This Row],[Budget Remaining]]&gt;20000,"Managed",IF(Table1[[#This Row],[Budget Remaining]]&gt;5000,"Critical","Refill")))</f>
        <v>Refill</v>
      </c>
    </row>
    <row r="332" spans="1:13" x14ac:dyDescent="0.3">
      <c r="A332" t="s">
        <v>236</v>
      </c>
      <c r="B332" t="s">
        <v>80</v>
      </c>
      <c r="C332" t="s">
        <v>5</v>
      </c>
      <c r="D332" t="s">
        <v>235</v>
      </c>
      <c r="E332">
        <v>30405</v>
      </c>
      <c r="F332" t="s">
        <v>3</v>
      </c>
      <c r="G332" t="s">
        <v>24</v>
      </c>
      <c r="H332">
        <v>45078</v>
      </c>
      <c r="I332">
        <v>14673</v>
      </c>
      <c r="J332" t="s">
        <v>15</v>
      </c>
      <c r="K332" t="s">
        <v>234</v>
      </c>
      <c r="L332" t="str">
        <f t="shared" si="9"/>
        <v>2025</v>
      </c>
      <c r="M332" t="str">
        <f>IF(Table1[[#This Row],[Budget Remaining]]&gt;40000,"Safe",IF(Table1[[#This Row],[Budget Remaining]]&gt;20000,"Managed",IF(Table1[[#This Row],[Budget Remaining]]&gt;5000,"Critical","Refill")))</f>
        <v>Critical</v>
      </c>
    </row>
    <row r="333" spans="1:13" x14ac:dyDescent="0.3">
      <c r="A333" t="s">
        <v>233</v>
      </c>
      <c r="B333" t="s">
        <v>80</v>
      </c>
      <c r="C333" t="s">
        <v>21</v>
      </c>
      <c r="D333" t="s">
        <v>79</v>
      </c>
      <c r="E333">
        <v>6187</v>
      </c>
      <c r="F333" t="s">
        <v>35</v>
      </c>
      <c r="G333" t="s">
        <v>2</v>
      </c>
      <c r="H333">
        <v>8659</v>
      </c>
      <c r="I333">
        <v>2472</v>
      </c>
      <c r="J333" t="s">
        <v>83</v>
      </c>
      <c r="K333" t="s">
        <v>232</v>
      </c>
      <c r="L333" t="str">
        <f t="shared" si="9"/>
        <v>2025</v>
      </c>
      <c r="M333" t="str">
        <f>IF(Table1[[#This Row],[Budget Remaining]]&gt;40000,"Safe",IF(Table1[[#This Row],[Budget Remaining]]&gt;20000,"Managed",IF(Table1[[#This Row],[Budget Remaining]]&gt;5000,"Critical","Refill")))</f>
        <v>Refill</v>
      </c>
    </row>
    <row r="334" spans="1:13" x14ac:dyDescent="0.3">
      <c r="A334" t="s">
        <v>231</v>
      </c>
      <c r="B334" t="s">
        <v>80</v>
      </c>
      <c r="C334" t="s">
        <v>41</v>
      </c>
      <c r="D334" t="s">
        <v>230</v>
      </c>
      <c r="E334">
        <v>82575</v>
      </c>
      <c r="F334" t="s">
        <v>35</v>
      </c>
      <c r="G334" t="s">
        <v>2</v>
      </c>
      <c r="H334">
        <v>103283</v>
      </c>
      <c r="I334">
        <v>20708</v>
      </c>
      <c r="J334" t="s">
        <v>15</v>
      </c>
      <c r="K334" t="s">
        <v>229</v>
      </c>
      <c r="L334" t="str">
        <f t="shared" si="9"/>
        <v>2025</v>
      </c>
      <c r="M334" t="str">
        <f>IF(Table1[[#This Row],[Budget Remaining]]&gt;40000,"Safe",IF(Table1[[#This Row],[Budget Remaining]]&gt;20000,"Managed",IF(Table1[[#This Row],[Budget Remaining]]&gt;5000,"Critical","Refill")))</f>
        <v>Managed</v>
      </c>
    </row>
    <row r="335" spans="1:13" x14ac:dyDescent="0.3">
      <c r="A335" t="s">
        <v>228</v>
      </c>
      <c r="B335" t="s">
        <v>55</v>
      </c>
      <c r="C335" s="1" t="s">
        <v>12</v>
      </c>
      <c r="D335" t="s">
        <v>153</v>
      </c>
      <c r="E335">
        <v>32149</v>
      </c>
      <c r="F335" t="s">
        <v>3</v>
      </c>
      <c r="G335" t="s">
        <v>2</v>
      </c>
      <c r="H335">
        <v>32450</v>
      </c>
      <c r="I335">
        <v>301</v>
      </c>
      <c r="J335" t="s">
        <v>15</v>
      </c>
      <c r="K335" t="s">
        <v>227</v>
      </c>
      <c r="L335" t="str">
        <f t="shared" si="9"/>
        <v>2025</v>
      </c>
      <c r="M335" t="str">
        <f>IF(Table1[[#This Row],[Budget Remaining]]&gt;40000,"Safe",IF(Table1[[#This Row],[Budget Remaining]]&gt;20000,"Managed",IF(Table1[[#This Row],[Budget Remaining]]&gt;5000,"Critical","Refill")))</f>
        <v>Refill</v>
      </c>
    </row>
    <row r="336" spans="1:13" x14ac:dyDescent="0.3">
      <c r="A336" t="s">
        <v>226</v>
      </c>
      <c r="B336" t="s">
        <v>55</v>
      </c>
      <c r="C336" t="s">
        <v>32</v>
      </c>
      <c r="D336" t="s">
        <v>64</v>
      </c>
      <c r="E336">
        <v>2591</v>
      </c>
      <c r="F336" t="s">
        <v>10</v>
      </c>
      <c r="G336" t="s">
        <v>2</v>
      </c>
      <c r="H336">
        <v>2878</v>
      </c>
      <c r="I336">
        <v>287</v>
      </c>
      <c r="J336" t="s">
        <v>67</v>
      </c>
      <c r="K336" t="s">
        <v>225</v>
      </c>
      <c r="L336" t="str">
        <f t="shared" ref="L336:L385" si="10">SUBSTITUTE(2026,1,1)</f>
        <v>2026</v>
      </c>
      <c r="M336" t="str">
        <f>IF(Table1[[#This Row],[Budget Remaining]]&gt;40000,"Safe",IF(Table1[[#This Row],[Budget Remaining]]&gt;20000,"Managed",IF(Table1[[#This Row],[Budget Remaining]]&gt;5000,"Critical","Refill")))</f>
        <v>Refill</v>
      </c>
    </row>
    <row r="337" spans="1:13" x14ac:dyDescent="0.3">
      <c r="A337" t="s">
        <v>224</v>
      </c>
      <c r="B337" t="s">
        <v>55</v>
      </c>
      <c r="C337" t="s">
        <v>69</v>
      </c>
      <c r="D337" t="s">
        <v>68</v>
      </c>
      <c r="E337">
        <v>26860</v>
      </c>
      <c r="F337" t="s">
        <v>35</v>
      </c>
      <c r="G337" t="s">
        <v>24</v>
      </c>
      <c r="H337">
        <v>36423</v>
      </c>
      <c r="I337">
        <v>9563</v>
      </c>
      <c r="J337" t="s">
        <v>83</v>
      </c>
      <c r="K337" t="s">
        <v>223</v>
      </c>
      <c r="L337" t="str">
        <f t="shared" si="10"/>
        <v>2026</v>
      </c>
      <c r="M337" t="str">
        <f>IF(Table1[[#This Row],[Budget Remaining]]&gt;40000,"Safe",IF(Table1[[#This Row],[Budget Remaining]]&gt;20000,"Managed",IF(Table1[[#This Row],[Budget Remaining]]&gt;5000,"Critical","Refill")))</f>
        <v>Critical</v>
      </c>
    </row>
    <row r="338" spans="1:13" x14ac:dyDescent="0.3">
      <c r="A338" t="s">
        <v>222</v>
      </c>
      <c r="B338" t="s">
        <v>27</v>
      </c>
      <c r="C338" t="s">
        <v>32</v>
      </c>
      <c r="D338" t="s">
        <v>31</v>
      </c>
      <c r="E338">
        <v>9871</v>
      </c>
      <c r="F338" t="s">
        <v>19</v>
      </c>
      <c r="G338" t="s">
        <v>2</v>
      </c>
      <c r="H338">
        <v>11791</v>
      </c>
      <c r="I338">
        <v>1920</v>
      </c>
      <c r="J338" t="s">
        <v>30</v>
      </c>
      <c r="K338" t="s">
        <v>221</v>
      </c>
      <c r="L338" t="str">
        <f t="shared" si="10"/>
        <v>2026</v>
      </c>
      <c r="M338" t="str">
        <f>IF(Table1[[#This Row],[Budget Remaining]]&gt;40000,"Safe",IF(Table1[[#This Row],[Budget Remaining]]&gt;20000,"Managed",IF(Table1[[#This Row],[Budget Remaining]]&gt;5000,"Critical","Refill")))</f>
        <v>Refill</v>
      </c>
    </row>
    <row r="339" spans="1:13" x14ac:dyDescent="0.3">
      <c r="A339" t="s">
        <v>220</v>
      </c>
      <c r="B339" t="s">
        <v>27</v>
      </c>
      <c r="C339" t="s">
        <v>32</v>
      </c>
      <c r="D339" t="s">
        <v>31</v>
      </c>
      <c r="E339">
        <v>14477</v>
      </c>
      <c r="F339" t="s">
        <v>35</v>
      </c>
      <c r="G339" t="s">
        <v>2</v>
      </c>
      <c r="H339">
        <v>17694</v>
      </c>
      <c r="I339">
        <v>3217</v>
      </c>
      <c r="J339" t="s">
        <v>18</v>
      </c>
      <c r="K339" t="s">
        <v>219</v>
      </c>
      <c r="L339" t="str">
        <f t="shared" si="10"/>
        <v>2026</v>
      </c>
      <c r="M339" t="str">
        <f>IF(Table1[[#This Row],[Budget Remaining]]&gt;40000,"Safe",IF(Table1[[#This Row],[Budget Remaining]]&gt;20000,"Managed",IF(Table1[[#This Row],[Budget Remaining]]&gt;5000,"Critical","Refill")))</f>
        <v>Refill</v>
      </c>
    </row>
    <row r="340" spans="1:13" x14ac:dyDescent="0.3">
      <c r="A340" t="s">
        <v>218</v>
      </c>
      <c r="B340" t="s">
        <v>27</v>
      </c>
      <c r="C340" s="1" t="s">
        <v>12</v>
      </c>
      <c r="D340" t="s">
        <v>209</v>
      </c>
      <c r="E340">
        <v>38514</v>
      </c>
      <c r="F340" t="s">
        <v>19</v>
      </c>
      <c r="G340" t="s">
        <v>2</v>
      </c>
      <c r="H340">
        <v>46273</v>
      </c>
      <c r="I340">
        <v>7759</v>
      </c>
      <c r="J340" t="s">
        <v>18</v>
      </c>
      <c r="K340" t="s">
        <v>217</v>
      </c>
      <c r="L340" t="str">
        <f t="shared" si="10"/>
        <v>2026</v>
      </c>
      <c r="M340" t="str">
        <f>IF(Table1[[#This Row],[Budget Remaining]]&gt;40000,"Safe",IF(Table1[[#This Row],[Budget Remaining]]&gt;20000,"Managed",IF(Table1[[#This Row],[Budget Remaining]]&gt;5000,"Critical","Refill")))</f>
        <v>Critical</v>
      </c>
    </row>
    <row r="341" spans="1:13" x14ac:dyDescent="0.3">
      <c r="A341" t="s">
        <v>216</v>
      </c>
      <c r="B341" t="s">
        <v>27</v>
      </c>
      <c r="C341" t="s">
        <v>5</v>
      </c>
      <c r="D341" t="s">
        <v>48</v>
      </c>
      <c r="E341">
        <v>15602</v>
      </c>
      <c r="F341" t="s">
        <v>10</v>
      </c>
      <c r="G341" t="s">
        <v>2</v>
      </c>
      <c r="H341">
        <v>21437</v>
      </c>
      <c r="I341">
        <v>5835</v>
      </c>
      <c r="J341" t="s">
        <v>15</v>
      </c>
      <c r="K341" t="s">
        <v>215</v>
      </c>
      <c r="L341" t="str">
        <f t="shared" si="10"/>
        <v>2026</v>
      </c>
      <c r="M341" t="str">
        <f>IF(Table1[[#This Row],[Budget Remaining]]&gt;40000,"Safe",IF(Table1[[#This Row],[Budget Remaining]]&gt;20000,"Managed",IF(Table1[[#This Row],[Budget Remaining]]&gt;5000,"Critical","Refill")))</f>
        <v>Critical</v>
      </c>
    </row>
    <row r="342" spans="1:13" x14ac:dyDescent="0.3">
      <c r="A342" t="s">
        <v>214</v>
      </c>
      <c r="B342" t="s">
        <v>27</v>
      </c>
      <c r="C342" t="s">
        <v>26</v>
      </c>
      <c r="D342" t="s">
        <v>25</v>
      </c>
      <c r="E342">
        <v>186816</v>
      </c>
      <c r="F342" t="s">
        <v>3</v>
      </c>
      <c r="G342" t="s">
        <v>24</v>
      </c>
      <c r="H342">
        <v>230473</v>
      </c>
      <c r="I342">
        <v>43657</v>
      </c>
      <c r="J342" t="s">
        <v>30</v>
      </c>
      <c r="K342" t="s">
        <v>213</v>
      </c>
      <c r="L342" t="str">
        <f t="shared" si="10"/>
        <v>2026</v>
      </c>
      <c r="M342" t="str">
        <f>IF(Table1[[#This Row],[Budget Remaining]]&gt;40000,"Safe",IF(Table1[[#This Row],[Budget Remaining]]&gt;20000,"Managed",IF(Table1[[#This Row],[Budget Remaining]]&gt;5000,"Critical","Refill")))</f>
        <v>Safe</v>
      </c>
    </row>
    <row r="343" spans="1:13" x14ac:dyDescent="0.3">
      <c r="A343" t="s">
        <v>212</v>
      </c>
      <c r="B343" t="s">
        <v>27</v>
      </c>
      <c r="C343" s="1" t="s">
        <v>12</v>
      </c>
      <c r="D343" t="s">
        <v>209</v>
      </c>
      <c r="E343">
        <v>59446</v>
      </c>
      <c r="F343" t="s">
        <v>10</v>
      </c>
      <c r="G343" t="s">
        <v>24</v>
      </c>
      <c r="H343">
        <v>89045</v>
      </c>
      <c r="I343">
        <v>29599</v>
      </c>
      <c r="J343" t="s">
        <v>44</v>
      </c>
      <c r="K343" t="s">
        <v>211</v>
      </c>
      <c r="L343" t="str">
        <f t="shared" si="10"/>
        <v>2026</v>
      </c>
      <c r="M343" t="str">
        <f>IF(Table1[[#This Row],[Budget Remaining]]&gt;40000,"Safe",IF(Table1[[#This Row],[Budget Remaining]]&gt;20000,"Managed",IF(Table1[[#This Row],[Budget Remaining]]&gt;5000,"Critical","Refill")))</f>
        <v>Managed</v>
      </c>
    </row>
    <row r="344" spans="1:13" x14ac:dyDescent="0.3">
      <c r="A344" t="s">
        <v>210</v>
      </c>
      <c r="B344" t="s">
        <v>27</v>
      </c>
      <c r="C344" s="1" t="s">
        <v>12</v>
      </c>
      <c r="D344" t="s">
        <v>209</v>
      </c>
      <c r="E344">
        <v>75463</v>
      </c>
      <c r="F344" t="s">
        <v>19</v>
      </c>
      <c r="G344" t="s">
        <v>2</v>
      </c>
      <c r="H344">
        <v>80432</v>
      </c>
      <c r="I344">
        <v>4969</v>
      </c>
      <c r="J344" t="s">
        <v>83</v>
      </c>
      <c r="K344" t="s">
        <v>208</v>
      </c>
      <c r="L344" t="str">
        <f t="shared" si="10"/>
        <v>2026</v>
      </c>
      <c r="M344" t="str">
        <f>IF(Table1[[#This Row],[Budget Remaining]]&gt;40000,"Safe",IF(Table1[[#This Row],[Budget Remaining]]&gt;20000,"Managed",IF(Table1[[#This Row],[Budget Remaining]]&gt;5000,"Critical","Refill")))</f>
        <v>Refill</v>
      </c>
    </row>
    <row r="345" spans="1:13" x14ac:dyDescent="0.3">
      <c r="A345" t="s">
        <v>207</v>
      </c>
      <c r="B345" s="1" t="s">
        <v>6</v>
      </c>
      <c r="C345" t="s">
        <v>5</v>
      </c>
      <c r="D345" t="s">
        <v>4</v>
      </c>
      <c r="E345">
        <v>39404</v>
      </c>
      <c r="F345" t="s">
        <v>3</v>
      </c>
      <c r="G345" t="s">
        <v>2</v>
      </c>
      <c r="H345">
        <v>45105</v>
      </c>
      <c r="I345">
        <v>5701</v>
      </c>
      <c r="J345" t="s">
        <v>18</v>
      </c>
      <c r="K345" t="s">
        <v>206</v>
      </c>
      <c r="L345" t="str">
        <f t="shared" si="10"/>
        <v>2026</v>
      </c>
      <c r="M345" t="str">
        <f>IF(Table1[[#This Row],[Budget Remaining]]&gt;40000,"Safe",IF(Table1[[#This Row],[Budget Remaining]]&gt;20000,"Managed",IF(Table1[[#This Row],[Budget Remaining]]&gt;5000,"Critical","Refill")))</f>
        <v>Critical</v>
      </c>
    </row>
    <row r="346" spans="1:13" x14ac:dyDescent="0.3">
      <c r="A346" t="s">
        <v>205</v>
      </c>
      <c r="B346" s="1" t="s">
        <v>6</v>
      </c>
      <c r="C346" t="s">
        <v>32</v>
      </c>
      <c r="D346" t="s">
        <v>204</v>
      </c>
      <c r="E346">
        <v>13308</v>
      </c>
      <c r="F346" t="s">
        <v>10</v>
      </c>
      <c r="G346" t="s">
        <v>2</v>
      </c>
      <c r="H346">
        <v>14757</v>
      </c>
      <c r="I346">
        <v>1449</v>
      </c>
      <c r="J346" t="s">
        <v>30</v>
      </c>
      <c r="K346" t="s">
        <v>203</v>
      </c>
      <c r="L346" t="str">
        <f t="shared" si="10"/>
        <v>2026</v>
      </c>
      <c r="M346" t="str">
        <f>IF(Table1[[#This Row],[Budget Remaining]]&gt;40000,"Safe",IF(Table1[[#This Row],[Budget Remaining]]&gt;20000,"Managed",IF(Table1[[#This Row],[Budget Remaining]]&gt;5000,"Critical","Refill")))</f>
        <v>Refill</v>
      </c>
    </row>
    <row r="347" spans="1:13" x14ac:dyDescent="0.3">
      <c r="A347" t="s">
        <v>202</v>
      </c>
      <c r="B347" s="1" t="s">
        <v>6</v>
      </c>
      <c r="C347" t="s">
        <v>5</v>
      </c>
      <c r="D347" t="s">
        <v>4</v>
      </c>
      <c r="E347">
        <v>45531</v>
      </c>
      <c r="F347" t="s">
        <v>10</v>
      </c>
      <c r="G347" t="s">
        <v>24</v>
      </c>
      <c r="H347">
        <v>65673</v>
      </c>
      <c r="I347">
        <v>20142</v>
      </c>
      <c r="J347" t="s">
        <v>18</v>
      </c>
      <c r="K347" t="s">
        <v>201</v>
      </c>
      <c r="L347" t="str">
        <f t="shared" si="10"/>
        <v>2026</v>
      </c>
      <c r="M347" t="str">
        <f>IF(Table1[[#This Row],[Budget Remaining]]&gt;40000,"Safe",IF(Table1[[#This Row],[Budget Remaining]]&gt;20000,"Managed",IF(Table1[[#This Row],[Budget Remaining]]&gt;5000,"Critical","Refill")))</f>
        <v>Managed</v>
      </c>
    </row>
    <row r="348" spans="1:13" x14ac:dyDescent="0.3">
      <c r="A348" t="s">
        <v>200</v>
      </c>
      <c r="B348" s="1" t="s">
        <v>6</v>
      </c>
      <c r="C348" s="1" t="s">
        <v>12</v>
      </c>
      <c r="D348" t="s">
        <v>11</v>
      </c>
      <c r="E348">
        <v>34504</v>
      </c>
      <c r="F348" t="s">
        <v>35</v>
      </c>
      <c r="G348" t="s">
        <v>2</v>
      </c>
      <c r="H348">
        <v>49324</v>
      </c>
      <c r="I348">
        <v>14820</v>
      </c>
      <c r="J348" t="s">
        <v>44</v>
      </c>
      <c r="K348" t="s">
        <v>199</v>
      </c>
      <c r="L348" t="str">
        <f t="shared" si="10"/>
        <v>2026</v>
      </c>
      <c r="M348" t="str">
        <f>IF(Table1[[#This Row],[Budget Remaining]]&gt;40000,"Safe",IF(Table1[[#This Row],[Budget Remaining]]&gt;20000,"Managed",IF(Table1[[#This Row],[Budget Remaining]]&gt;5000,"Critical","Refill")))</f>
        <v>Critical</v>
      </c>
    </row>
    <row r="349" spans="1:13" x14ac:dyDescent="0.3">
      <c r="A349" t="s">
        <v>198</v>
      </c>
      <c r="B349" t="s">
        <v>105</v>
      </c>
      <c r="C349" s="1" t="s">
        <v>12</v>
      </c>
      <c r="D349" t="s">
        <v>197</v>
      </c>
      <c r="E349">
        <v>42802</v>
      </c>
      <c r="F349" t="s">
        <v>10</v>
      </c>
      <c r="G349" t="s">
        <v>2</v>
      </c>
      <c r="H349">
        <v>42873</v>
      </c>
      <c r="I349">
        <v>71</v>
      </c>
      <c r="J349" t="s">
        <v>9</v>
      </c>
      <c r="K349" t="s">
        <v>196</v>
      </c>
      <c r="L349" t="str">
        <f t="shared" si="10"/>
        <v>2026</v>
      </c>
      <c r="M349" t="str">
        <f>IF(Table1[[#This Row],[Budget Remaining]]&gt;40000,"Safe",IF(Table1[[#This Row],[Budget Remaining]]&gt;20000,"Managed",IF(Table1[[#This Row],[Budget Remaining]]&gt;5000,"Critical","Refill")))</f>
        <v>Refill</v>
      </c>
    </row>
    <row r="350" spans="1:13" x14ac:dyDescent="0.3">
      <c r="A350" t="s">
        <v>195</v>
      </c>
      <c r="B350" t="s">
        <v>105</v>
      </c>
      <c r="C350" t="s">
        <v>5</v>
      </c>
      <c r="D350" t="s">
        <v>194</v>
      </c>
      <c r="E350">
        <v>27123</v>
      </c>
      <c r="F350" t="s">
        <v>35</v>
      </c>
      <c r="G350" t="s">
        <v>2</v>
      </c>
      <c r="H350">
        <v>34991</v>
      </c>
      <c r="I350">
        <v>7868</v>
      </c>
      <c r="J350" t="s">
        <v>100</v>
      </c>
      <c r="K350" t="s">
        <v>193</v>
      </c>
      <c r="L350" t="str">
        <f t="shared" si="10"/>
        <v>2026</v>
      </c>
      <c r="M350" t="str">
        <f>IF(Table1[[#This Row],[Budget Remaining]]&gt;40000,"Safe",IF(Table1[[#This Row],[Budget Remaining]]&gt;20000,"Managed",IF(Table1[[#This Row],[Budget Remaining]]&gt;5000,"Critical","Refill")))</f>
        <v>Critical</v>
      </c>
    </row>
    <row r="351" spans="1:13" x14ac:dyDescent="0.3">
      <c r="A351" t="s">
        <v>192</v>
      </c>
      <c r="B351" t="s">
        <v>105</v>
      </c>
      <c r="C351" t="s">
        <v>37</v>
      </c>
      <c r="D351" t="s">
        <v>189</v>
      </c>
      <c r="E351">
        <v>34385</v>
      </c>
      <c r="F351" t="s">
        <v>19</v>
      </c>
      <c r="G351" t="s">
        <v>24</v>
      </c>
      <c r="H351">
        <v>36767</v>
      </c>
      <c r="I351">
        <v>2382</v>
      </c>
      <c r="J351" t="s">
        <v>51</v>
      </c>
      <c r="K351" t="s">
        <v>191</v>
      </c>
      <c r="L351" t="str">
        <f t="shared" si="10"/>
        <v>2026</v>
      </c>
      <c r="M351" t="str">
        <f>IF(Table1[[#This Row],[Budget Remaining]]&gt;40000,"Safe",IF(Table1[[#This Row],[Budget Remaining]]&gt;20000,"Managed",IF(Table1[[#This Row],[Budget Remaining]]&gt;5000,"Critical","Refill")))</f>
        <v>Refill</v>
      </c>
    </row>
    <row r="352" spans="1:13" x14ac:dyDescent="0.3">
      <c r="A352" t="s">
        <v>190</v>
      </c>
      <c r="B352" t="s">
        <v>105</v>
      </c>
      <c r="C352" t="s">
        <v>37</v>
      </c>
      <c r="D352" t="s">
        <v>189</v>
      </c>
      <c r="E352">
        <v>47601</v>
      </c>
      <c r="F352" t="s">
        <v>35</v>
      </c>
      <c r="G352" t="s">
        <v>2</v>
      </c>
      <c r="H352">
        <v>62115</v>
      </c>
      <c r="I352">
        <v>14514</v>
      </c>
      <c r="J352" t="s">
        <v>30</v>
      </c>
      <c r="K352" t="s">
        <v>188</v>
      </c>
      <c r="L352" t="str">
        <f t="shared" si="10"/>
        <v>2026</v>
      </c>
      <c r="M352" t="str">
        <f>IF(Table1[[#This Row],[Budget Remaining]]&gt;40000,"Safe",IF(Table1[[#This Row],[Budget Remaining]]&gt;20000,"Managed",IF(Table1[[#This Row],[Budget Remaining]]&gt;5000,"Critical","Refill")))</f>
        <v>Critical</v>
      </c>
    </row>
    <row r="353" spans="1:13" x14ac:dyDescent="0.3">
      <c r="A353" t="s">
        <v>187</v>
      </c>
      <c r="B353" t="s">
        <v>41</v>
      </c>
      <c r="C353" s="1" t="s">
        <v>12</v>
      </c>
      <c r="D353" t="s">
        <v>91</v>
      </c>
      <c r="E353">
        <v>77359</v>
      </c>
      <c r="F353" t="s">
        <v>3</v>
      </c>
      <c r="G353" t="s">
        <v>2</v>
      </c>
      <c r="H353">
        <v>97137</v>
      </c>
      <c r="I353">
        <v>19778</v>
      </c>
      <c r="J353" t="s">
        <v>30</v>
      </c>
      <c r="K353" t="s">
        <v>186</v>
      </c>
      <c r="L353" t="str">
        <f t="shared" si="10"/>
        <v>2026</v>
      </c>
      <c r="M353" t="str">
        <f>IF(Table1[[#This Row],[Budget Remaining]]&gt;40000,"Safe",IF(Table1[[#This Row],[Budget Remaining]]&gt;20000,"Managed",IF(Table1[[#This Row],[Budget Remaining]]&gt;5000,"Critical","Refill")))</f>
        <v>Critical</v>
      </c>
    </row>
    <row r="354" spans="1:13" x14ac:dyDescent="0.3">
      <c r="A354" t="s">
        <v>185</v>
      </c>
      <c r="B354" t="s">
        <v>41</v>
      </c>
      <c r="C354" t="s">
        <v>41</v>
      </c>
      <c r="D354" t="s">
        <v>101</v>
      </c>
      <c r="E354">
        <v>133776</v>
      </c>
      <c r="F354" t="s">
        <v>10</v>
      </c>
      <c r="G354" t="s">
        <v>2</v>
      </c>
      <c r="H354">
        <v>196459</v>
      </c>
      <c r="I354">
        <v>62683</v>
      </c>
      <c r="J354" t="s">
        <v>15</v>
      </c>
      <c r="K354" t="s">
        <v>184</v>
      </c>
      <c r="L354" t="str">
        <f t="shared" si="10"/>
        <v>2026</v>
      </c>
      <c r="M354" t="str">
        <f>IF(Table1[[#This Row],[Budget Remaining]]&gt;40000,"Safe",IF(Table1[[#This Row],[Budget Remaining]]&gt;20000,"Managed",IF(Table1[[#This Row],[Budget Remaining]]&gt;5000,"Critical","Refill")))</f>
        <v>Safe</v>
      </c>
    </row>
    <row r="355" spans="1:13" x14ac:dyDescent="0.3">
      <c r="A355" t="s">
        <v>183</v>
      </c>
      <c r="B355" t="s">
        <v>41</v>
      </c>
      <c r="C355" t="s">
        <v>37</v>
      </c>
      <c r="D355" t="s">
        <v>182</v>
      </c>
      <c r="E355">
        <v>32132</v>
      </c>
      <c r="F355" t="s">
        <v>3</v>
      </c>
      <c r="G355" t="s">
        <v>24</v>
      </c>
      <c r="H355">
        <v>41412</v>
      </c>
      <c r="I355">
        <v>9280</v>
      </c>
      <c r="J355" t="s">
        <v>44</v>
      </c>
      <c r="K355" t="s">
        <v>181</v>
      </c>
      <c r="L355" t="str">
        <f>SUBSTITUTE(2025,1,1)</f>
        <v>2025</v>
      </c>
      <c r="M355" t="str">
        <f>IF(Table1[[#This Row],[Budget Remaining]]&gt;40000,"Safe",IF(Table1[[#This Row],[Budget Remaining]]&gt;20000,"Managed",IF(Table1[[#This Row],[Budget Remaining]]&gt;5000,"Critical","Refill")))</f>
        <v>Critical</v>
      </c>
    </row>
    <row r="356" spans="1:13" x14ac:dyDescent="0.3">
      <c r="A356" t="s">
        <v>180</v>
      </c>
      <c r="B356" t="s">
        <v>41</v>
      </c>
      <c r="C356" t="s">
        <v>41</v>
      </c>
      <c r="D356" t="s">
        <v>101</v>
      </c>
      <c r="E356">
        <v>130954</v>
      </c>
      <c r="F356" t="s">
        <v>10</v>
      </c>
      <c r="G356" t="s">
        <v>2</v>
      </c>
      <c r="H356">
        <v>163707</v>
      </c>
      <c r="I356">
        <v>32753</v>
      </c>
      <c r="J356" t="s">
        <v>100</v>
      </c>
      <c r="K356" t="s">
        <v>179</v>
      </c>
      <c r="L356" t="str">
        <f t="shared" ref="L356:L366" si="11">SUBSTITUTE(2025,1,1)</f>
        <v>2025</v>
      </c>
      <c r="M356" t="str">
        <f>IF(Table1[[#This Row],[Budget Remaining]]&gt;40000,"Safe",IF(Table1[[#This Row],[Budget Remaining]]&gt;20000,"Managed",IF(Table1[[#This Row],[Budget Remaining]]&gt;5000,"Critical","Refill")))</f>
        <v>Managed</v>
      </c>
    </row>
    <row r="357" spans="1:13" x14ac:dyDescent="0.3">
      <c r="A357" t="s">
        <v>178</v>
      </c>
      <c r="B357" t="s">
        <v>41</v>
      </c>
      <c r="C357" t="s">
        <v>5</v>
      </c>
      <c r="D357" t="s">
        <v>175</v>
      </c>
      <c r="E357">
        <v>2451</v>
      </c>
      <c r="F357" t="s">
        <v>35</v>
      </c>
      <c r="G357" t="s">
        <v>24</v>
      </c>
      <c r="H357">
        <v>3368</v>
      </c>
      <c r="I357">
        <v>917</v>
      </c>
      <c r="J357" t="s">
        <v>44</v>
      </c>
      <c r="K357" t="s">
        <v>177</v>
      </c>
      <c r="L357" t="str">
        <f t="shared" si="11"/>
        <v>2025</v>
      </c>
      <c r="M357" t="str">
        <f>IF(Table1[[#This Row],[Budget Remaining]]&gt;40000,"Safe",IF(Table1[[#This Row],[Budget Remaining]]&gt;20000,"Managed",IF(Table1[[#This Row],[Budget Remaining]]&gt;5000,"Critical","Refill")))</f>
        <v>Refill</v>
      </c>
    </row>
    <row r="358" spans="1:13" x14ac:dyDescent="0.3">
      <c r="A358" t="s">
        <v>176</v>
      </c>
      <c r="B358" t="s">
        <v>41</v>
      </c>
      <c r="C358" t="s">
        <v>5</v>
      </c>
      <c r="D358" t="s">
        <v>175</v>
      </c>
      <c r="E358">
        <v>29334</v>
      </c>
      <c r="F358" t="s">
        <v>19</v>
      </c>
      <c r="G358" t="s">
        <v>24</v>
      </c>
      <c r="H358">
        <v>43379</v>
      </c>
      <c r="I358">
        <v>14045</v>
      </c>
      <c r="J358" t="s">
        <v>18</v>
      </c>
      <c r="K358" t="s">
        <v>174</v>
      </c>
      <c r="L358" t="str">
        <f t="shared" si="11"/>
        <v>2025</v>
      </c>
      <c r="M358" t="str">
        <f>IF(Table1[[#This Row],[Budget Remaining]]&gt;40000,"Safe",IF(Table1[[#This Row],[Budget Remaining]]&gt;20000,"Managed",IF(Table1[[#This Row],[Budget Remaining]]&gt;5000,"Critical","Refill")))</f>
        <v>Critical</v>
      </c>
    </row>
    <row r="359" spans="1:13" x14ac:dyDescent="0.3">
      <c r="A359" t="s">
        <v>173</v>
      </c>
      <c r="B359" t="s">
        <v>41</v>
      </c>
      <c r="C359" t="s">
        <v>26</v>
      </c>
      <c r="D359" t="s">
        <v>97</v>
      </c>
      <c r="E359">
        <v>136040</v>
      </c>
      <c r="F359" t="s">
        <v>10</v>
      </c>
      <c r="G359" t="s">
        <v>2</v>
      </c>
      <c r="H359">
        <v>192344</v>
      </c>
      <c r="I359">
        <v>56304</v>
      </c>
      <c r="J359" t="s">
        <v>1</v>
      </c>
      <c r="K359" t="s">
        <v>172</v>
      </c>
      <c r="L359" t="str">
        <f t="shared" si="11"/>
        <v>2025</v>
      </c>
      <c r="M359" t="str">
        <f>IF(Table1[[#This Row],[Budget Remaining]]&gt;40000,"Safe",IF(Table1[[#This Row],[Budget Remaining]]&gt;20000,"Managed",IF(Table1[[#This Row],[Budget Remaining]]&gt;5000,"Critical","Refill")))</f>
        <v>Safe</v>
      </c>
    </row>
    <row r="360" spans="1:13" x14ac:dyDescent="0.3">
      <c r="A360" t="s">
        <v>171</v>
      </c>
      <c r="B360" t="s">
        <v>41</v>
      </c>
      <c r="C360" s="1" t="s">
        <v>12</v>
      </c>
      <c r="D360" t="s">
        <v>91</v>
      </c>
      <c r="E360">
        <v>98929</v>
      </c>
      <c r="F360" t="s">
        <v>35</v>
      </c>
      <c r="G360" t="s">
        <v>2</v>
      </c>
      <c r="H360">
        <v>144802</v>
      </c>
      <c r="I360">
        <v>45873</v>
      </c>
      <c r="J360" t="s">
        <v>67</v>
      </c>
      <c r="K360" t="s">
        <v>170</v>
      </c>
      <c r="L360" t="str">
        <f t="shared" si="11"/>
        <v>2025</v>
      </c>
      <c r="M360" t="str">
        <f>IF(Table1[[#This Row],[Budget Remaining]]&gt;40000,"Safe",IF(Table1[[#This Row],[Budget Remaining]]&gt;20000,"Managed",IF(Table1[[#This Row],[Budget Remaining]]&gt;5000,"Critical","Refill")))</f>
        <v>Safe</v>
      </c>
    </row>
    <row r="361" spans="1:13" x14ac:dyDescent="0.3">
      <c r="A361" t="s">
        <v>169</v>
      </c>
      <c r="B361" t="s">
        <v>80</v>
      </c>
      <c r="C361" t="s">
        <v>69</v>
      </c>
      <c r="D361" t="s">
        <v>88</v>
      </c>
      <c r="E361">
        <v>27836</v>
      </c>
      <c r="F361" t="s">
        <v>19</v>
      </c>
      <c r="G361" t="s">
        <v>2</v>
      </c>
      <c r="H361">
        <v>39322</v>
      </c>
      <c r="I361">
        <v>11486</v>
      </c>
      <c r="J361" t="s">
        <v>30</v>
      </c>
      <c r="K361" t="s">
        <v>168</v>
      </c>
      <c r="L361" t="str">
        <f t="shared" si="11"/>
        <v>2025</v>
      </c>
      <c r="M361" t="str">
        <f>IF(Table1[[#This Row],[Budget Remaining]]&gt;40000,"Safe",IF(Table1[[#This Row],[Budget Remaining]]&gt;20000,"Managed",IF(Table1[[#This Row],[Budget Remaining]]&gt;5000,"Critical","Refill")))</f>
        <v>Critical</v>
      </c>
    </row>
    <row r="362" spans="1:13" x14ac:dyDescent="0.3">
      <c r="A362" t="s">
        <v>167</v>
      </c>
      <c r="B362" t="s">
        <v>80</v>
      </c>
      <c r="C362" t="s">
        <v>32</v>
      </c>
      <c r="D362" t="s">
        <v>164</v>
      </c>
      <c r="E362">
        <v>3325</v>
      </c>
      <c r="F362" t="s">
        <v>35</v>
      </c>
      <c r="G362" t="s">
        <v>2</v>
      </c>
      <c r="H362">
        <v>4843</v>
      </c>
      <c r="I362">
        <v>1518</v>
      </c>
      <c r="J362" t="s">
        <v>15</v>
      </c>
      <c r="K362" t="s">
        <v>166</v>
      </c>
      <c r="L362" t="str">
        <f t="shared" si="11"/>
        <v>2025</v>
      </c>
      <c r="M362" t="str">
        <f>IF(Table1[[#This Row],[Budget Remaining]]&gt;40000,"Safe",IF(Table1[[#This Row],[Budget Remaining]]&gt;20000,"Managed",IF(Table1[[#This Row],[Budget Remaining]]&gt;5000,"Critical","Refill")))</f>
        <v>Refill</v>
      </c>
    </row>
    <row r="363" spans="1:13" x14ac:dyDescent="0.3">
      <c r="A363" t="s">
        <v>165</v>
      </c>
      <c r="B363" t="s">
        <v>80</v>
      </c>
      <c r="C363" t="s">
        <v>32</v>
      </c>
      <c r="D363" t="s">
        <v>164</v>
      </c>
      <c r="E363">
        <v>11519</v>
      </c>
      <c r="F363" t="s">
        <v>35</v>
      </c>
      <c r="G363" t="s">
        <v>2</v>
      </c>
      <c r="H363">
        <v>15514</v>
      </c>
      <c r="I363">
        <v>3995</v>
      </c>
      <c r="J363" t="s">
        <v>15</v>
      </c>
      <c r="K363" t="s">
        <v>163</v>
      </c>
      <c r="L363" t="str">
        <f t="shared" si="11"/>
        <v>2025</v>
      </c>
      <c r="M363" t="str">
        <f>IF(Table1[[#This Row],[Budget Remaining]]&gt;40000,"Safe",IF(Table1[[#This Row],[Budget Remaining]]&gt;20000,"Managed",IF(Table1[[#This Row],[Budget Remaining]]&gt;5000,"Critical","Refill")))</f>
        <v>Refill</v>
      </c>
    </row>
    <row r="364" spans="1:13" x14ac:dyDescent="0.3">
      <c r="A364" t="s">
        <v>162</v>
      </c>
      <c r="B364" t="s">
        <v>80</v>
      </c>
      <c r="C364" t="s">
        <v>69</v>
      </c>
      <c r="D364" t="s">
        <v>88</v>
      </c>
      <c r="E364">
        <v>25583</v>
      </c>
      <c r="F364" t="s">
        <v>35</v>
      </c>
      <c r="G364" t="s">
        <v>2</v>
      </c>
      <c r="H364">
        <v>31271</v>
      </c>
      <c r="I364">
        <v>5688</v>
      </c>
      <c r="J364" t="s">
        <v>51</v>
      </c>
      <c r="K364" t="s">
        <v>161</v>
      </c>
      <c r="L364" t="str">
        <f t="shared" si="11"/>
        <v>2025</v>
      </c>
      <c r="M364" t="str">
        <f>IF(Table1[[#This Row],[Budget Remaining]]&gt;40000,"Safe",IF(Table1[[#This Row],[Budget Remaining]]&gt;20000,"Managed",IF(Table1[[#This Row],[Budget Remaining]]&gt;5000,"Critical","Refill")))</f>
        <v>Critical</v>
      </c>
    </row>
    <row r="365" spans="1:13" x14ac:dyDescent="0.3">
      <c r="A365" t="s">
        <v>160</v>
      </c>
      <c r="B365" t="s">
        <v>55</v>
      </c>
      <c r="C365" t="s">
        <v>37</v>
      </c>
      <c r="D365" t="s">
        <v>54</v>
      </c>
      <c r="E365">
        <v>23352</v>
      </c>
      <c r="F365" t="s">
        <v>19</v>
      </c>
      <c r="G365" t="s">
        <v>2</v>
      </c>
      <c r="H365">
        <v>25080</v>
      </c>
      <c r="I365">
        <v>1728</v>
      </c>
      <c r="J365" t="s">
        <v>30</v>
      </c>
      <c r="K365" t="s">
        <v>159</v>
      </c>
      <c r="L365" t="str">
        <f t="shared" si="11"/>
        <v>2025</v>
      </c>
      <c r="M365" t="str">
        <f>IF(Table1[[#This Row],[Budget Remaining]]&gt;40000,"Safe",IF(Table1[[#This Row],[Budget Remaining]]&gt;20000,"Managed",IF(Table1[[#This Row],[Budget Remaining]]&gt;5000,"Critical","Refill")))</f>
        <v>Refill</v>
      </c>
    </row>
    <row r="366" spans="1:13" x14ac:dyDescent="0.3">
      <c r="A366" t="s">
        <v>158</v>
      </c>
      <c r="B366" t="s">
        <v>55</v>
      </c>
      <c r="C366" t="s">
        <v>32</v>
      </c>
      <c r="D366" t="s">
        <v>64</v>
      </c>
      <c r="E366">
        <v>12694</v>
      </c>
      <c r="F366" t="s">
        <v>3</v>
      </c>
      <c r="G366" t="s">
        <v>24</v>
      </c>
      <c r="H366">
        <v>14542</v>
      </c>
      <c r="I366">
        <v>1848</v>
      </c>
      <c r="J366" t="s">
        <v>15</v>
      </c>
      <c r="K366" t="s">
        <v>157</v>
      </c>
      <c r="L366" t="str">
        <f t="shared" si="11"/>
        <v>2025</v>
      </c>
      <c r="M366" t="str">
        <f>IF(Table1[[#This Row],[Budget Remaining]]&gt;40000,"Safe",IF(Table1[[#This Row],[Budget Remaining]]&gt;20000,"Managed",IF(Table1[[#This Row],[Budget Remaining]]&gt;5000,"Critical","Refill")))</f>
        <v>Refill</v>
      </c>
    </row>
    <row r="367" spans="1:13" x14ac:dyDescent="0.3">
      <c r="A367" t="s">
        <v>156</v>
      </c>
      <c r="B367" t="s">
        <v>55</v>
      </c>
      <c r="C367" t="s">
        <v>26</v>
      </c>
      <c r="D367" t="s">
        <v>61</v>
      </c>
      <c r="E367">
        <v>186495</v>
      </c>
      <c r="F367" t="s">
        <v>3</v>
      </c>
      <c r="G367" t="s">
        <v>2</v>
      </c>
      <c r="H367">
        <v>213992</v>
      </c>
      <c r="I367">
        <v>27497</v>
      </c>
      <c r="J367" t="s">
        <v>51</v>
      </c>
      <c r="K367" t="s">
        <v>155</v>
      </c>
      <c r="L367" t="str">
        <f t="shared" si="10"/>
        <v>2026</v>
      </c>
      <c r="M367" t="str">
        <f>IF(Table1[[#This Row],[Budget Remaining]]&gt;40000,"Safe",IF(Table1[[#This Row],[Budget Remaining]]&gt;20000,"Managed",IF(Table1[[#This Row],[Budget Remaining]]&gt;5000,"Critical","Refill")))</f>
        <v>Managed</v>
      </c>
    </row>
    <row r="368" spans="1:13" x14ac:dyDescent="0.3">
      <c r="A368" t="s">
        <v>154</v>
      </c>
      <c r="B368" t="s">
        <v>55</v>
      </c>
      <c r="C368" s="1" t="s">
        <v>12</v>
      </c>
      <c r="D368" t="s">
        <v>153</v>
      </c>
      <c r="E368">
        <v>38725</v>
      </c>
      <c r="F368" t="s">
        <v>3</v>
      </c>
      <c r="G368" t="s">
        <v>24</v>
      </c>
      <c r="H368">
        <v>51054</v>
      </c>
      <c r="I368">
        <v>12329</v>
      </c>
      <c r="J368" t="s">
        <v>15</v>
      </c>
      <c r="K368" t="s">
        <v>152</v>
      </c>
      <c r="L368" t="str">
        <f t="shared" si="10"/>
        <v>2026</v>
      </c>
      <c r="M368" t="str">
        <f>IF(Table1[[#This Row],[Budget Remaining]]&gt;40000,"Safe",IF(Table1[[#This Row],[Budget Remaining]]&gt;20000,"Managed",IF(Table1[[#This Row],[Budget Remaining]]&gt;5000,"Critical","Refill")))</f>
        <v>Critical</v>
      </c>
    </row>
    <row r="369" spans="1:13" x14ac:dyDescent="0.3">
      <c r="A369" t="s">
        <v>151</v>
      </c>
      <c r="B369" t="s">
        <v>55</v>
      </c>
      <c r="C369" t="s">
        <v>37</v>
      </c>
      <c r="D369" t="s">
        <v>54</v>
      </c>
      <c r="E369">
        <v>39002</v>
      </c>
      <c r="F369" t="s">
        <v>35</v>
      </c>
      <c r="G369" t="s">
        <v>2</v>
      </c>
      <c r="H369">
        <v>46104</v>
      </c>
      <c r="I369">
        <v>7102</v>
      </c>
      <c r="J369" t="s">
        <v>51</v>
      </c>
      <c r="K369" t="s">
        <v>150</v>
      </c>
      <c r="L369" t="str">
        <f t="shared" si="10"/>
        <v>2026</v>
      </c>
      <c r="M369" t="str">
        <f>IF(Table1[[#This Row],[Budget Remaining]]&gt;40000,"Safe",IF(Table1[[#This Row],[Budget Remaining]]&gt;20000,"Managed",IF(Table1[[#This Row],[Budget Remaining]]&gt;5000,"Critical","Refill")))</f>
        <v>Critical</v>
      </c>
    </row>
    <row r="370" spans="1:13" x14ac:dyDescent="0.3">
      <c r="A370" t="s">
        <v>149</v>
      </c>
      <c r="B370" t="s">
        <v>55</v>
      </c>
      <c r="C370" t="s">
        <v>32</v>
      </c>
      <c r="D370" t="s">
        <v>64</v>
      </c>
      <c r="E370">
        <v>11548</v>
      </c>
      <c r="F370" t="s">
        <v>10</v>
      </c>
      <c r="G370" t="s">
        <v>24</v>
      </c>
      <c r="H370">
        <v>12448</v>
      </c>
      <c r="I370">
        <v>900</v>
      </c>
      <c r="J370" t="s">
        <v>30</v>
      </c>
      <c r="K370" t="s">
        <v>148</v>
      </c>
      <c r="L370" t="str">
        <f t="shared" si="10"/>
        <v>2026</v>
      </c>
      <c r="M370" t="str">
        <f>IF(Table1[[#This Row],[Budget Remaining]]&gt;40000,"Safe",IF(Table1[[#This Row],[Budget Remaining]]&gt;20000,"Managed",IF(Table1[[#This Row],[Budget Remaining]]&gt;5000,"Critical","Refill")))</f>
        <v>Refill</v>
      </c>
    </row>
    <row r="371" spans="1:13" x14ac:dyDescent="0.3">
      <c r="A371" t="s">
        <v>147</v>
      </c>
      <c r="B371" t="s">
        <v>55</v>
      </c>
      <c r="C371" t="s">
        <v>26</v>
      </c>
      <c r="D371" t="s">
        <v>61</v>
      </c>
      <c r="E371">
        <v>179968</v>
      </c>
      <c r="F371" t="s">
        <v>35</v>
      </c>
      <c r="G371" t="s">
        <v>2</v>
      </c>
      <c r="H371">
        <v>195186</v>
      </c>
      <c r="I371">
        <v>15218</v>
      </c>
      <c r="J371" t="s">
        <v>44</v>
      </c>
      <c r="K371" t="s">
        <v>146</v>
      </c>
      <c r="L371" t="str">
        <f t="shared" si="10"/>
        <v>2026</v>
      </c>
      <c r="M371" t="str">
        <f>IF(Table1[[#This Row],[Budget Remaining]]&gt;40000,"Safe",IF(Table1[[#This Row],[Budget Remaining]]&gt;20000,"Managed",IF(Table1[[#This Row],[Budget Remaining]]&gt;5000,"Critical","Refill")))</f>
        <v>Critical</v>
      </c>
    </row>
    <row r="372" spans="1:13" x14ac:dyDescent="0.3">
      <c r="A372" t="s">
        <v>145</v>
      </c>
      <c r="B372" t="s">
        <v>27</v>
      </c>
      <c r="C372" t="s">
        <v>5</v>
      </c>
      <c r="D372" t="s">
        <v>48</v>
      </c>
      <c r="E372">
        <v>24437</v>
      </c>
      <c r="F372" t="s">
        <v>3</v>
      </c>
      <c r="G372" t="s">
        <v>2</v>
      </c>
      <c r="H372">
        <v>27184</v>
      </c>
      <c r="I372">
        <v>2747</v>
      </c>
      <c r="J372" t="s">
        <v>15</v>
      </c>
      <c r="K372" t="s">
        <v>144</v>
      </c>
      <c r="L372" t="str">
        <f t="shared" si="10"/>
        <v>2026</v>
      </c>
      <c r="M372" t="str">
        <f>IF(Table1[[#This Row],[Budget Remaining]]&gt;40000,"Safe",IF(Table1[[#This Row],[Budget Remaining]]&gt;20000,"Managed",IF(Table1[[#This Row],[Budget Remaining]]&gt;5000,"Critical","Refill")))</f>
        <v>Refill</v>
      </c>
    </row>
    <row r="373" spans="1:13" x14ac:dyDescent="0.3">
      <c r="A373" t="s">
        <v>143</v>
      </c>
      <c r="B373" t="s">
        <v>27</v>
      </c>
      <c r="C373" t="s">
        <v>5</v>
      </c>
      <c r="D373" t="s">
        <v>48</v>
      </c>
      <c r="E373">
        <v>44598</v>
      </c>
      <c r="F373" t="s">
        <v>35</v>
      </c>
      <c r="G373" t="s">
        <v>24</v>
      </c>
      <c r="H373">
        <v>48990</v>
      </c>
      <c r="I373">
        <v>4392</v>
      </c>
      <c r="J373" t="s">
        <v>1</v>
      </c>
      <c r="K373" t="s">
        <v>142</v>
      </c>
      <c r="L373" t="str">
        <f t="shared" si="10"/>
        <v>2026</v>
      </c>
      <c r="M373" t="str">
        <f>IF(Table1[[#This Row],[Budget Remaining]]&gt;40000,"Safe",IF(Table1[[#This Row],[Budget Remaining]]&gt;20000,"Managed",IF(Table1[[#This Row],[Budget Remaining]]&gt;5000,"Critical","Refill")))</f>
        <v>Refill</v>
      </c>
    </row>
    <row r="374" spans="1:13" x14ac:dyDescent="0.3">
      <c r="A374" t="s">
        <v>141</v>
      </c>
      <c r="B374" t="s">
        <v>27</v>
      </c>
      <c r="C374" t="s">
        <v>21</v>
      </c>
      <c r="D374" t="s">
        <v>45</v>
      </c>
      <c r="E374">
        <v>6573</v>
      </c>
      <c r="F374" t="s">
        <v>19</v>
      </c>
      <c r="G374" t="s">
        <v>2</v>
      </c>
      <c r="H374">
        <v>7239</v>
      </c>
      <c r="I374">
        <v>666</v>
      </c>
      <c r="J374" t="s">
        <v>67</v>
      </c>
      <c r="K374" t="s">
        <v>140</v>
      </c>
      <c r="L374" t="str">
        <f t="shared" si="10"/>
        <v>2026</v>
      </c>
      <c r="M374" t="str">
        <f>IF(Table1[[#This Row],[Budget Remaining]]&gt;40000,"Safe",IF(Table1[[#This Row],[Budget Remaining]]&gt;20000,"Managed",IF(Table1[[#This Row],[Budget Remaining]]&gt;5000,"Critical","Refill")))</f>
        <v>Refill</v>
      </c>
    </row>
    <row r="375" spans="1:13" x14ac:dyDescent="0.3">
      <c r="A375" t="s">
        <v>139</v>
      </c>
      <c r="B375" s="1" t="s">
        <v>6</v>
      </c>
      <c r="C375" t="s">
        <v>5</v>
      </c>
      <c r="D375" t="s">
        <v>4</v>
      </c>
      <c r="E375">
        <v>19791</v>
      </c>
      <c r="F375" t="s">
        <v>19</v>
      </c>
      <c r="G375" t="s">
        <v>2</v>
      </c>
      <c r="H375">
        <v>25266</v>
      </c>
      <c r="I375">
        <v>5475</v>
      </c>
      <c r="J375" t="s">
        <v>44</v>
      </c>
      <c r="K375" t="s">
        <v>138</v>
      </c>
      <c r="L375" t="str">
        <f t="shared" si="10"/>
        <v>2026</v>
      </c>
      <c r="M375" t="str">
        <f>IF(Table1[[#This Row],[Budget Remaining]]&gt;40000,"Safe",IF(Table1[[#This Row],[Budget Remaining]]&gt;20000,"Managed",IF(Table1[[#This Row],[Budget Remaining]]&gt;5000,"Critical","Refill")))</f>
        <v>Critical</v>
      </c>
    </row>
    <row r="376" spans="1:13" x14ac:dyDescent="0.3">
      <c r="A376" t="s">
        <v>137</v>
      </c>
      <c r="B376" s="1" t="s">
        <v>6</v>
      </c>
      <c r="C376" t="s">
        <v>21</v>
      </c>
      <c r="D376" t="s">
        <v>20</v>
      </c>
      <c r="E376">
        <v>2504</v>
      </c>
      <c r="F376" t="s">
        <v>3</v>
      </c>
      <c r="G376" t="s">
        <v>2</v>
      </c>
      <c r="H376">
        <v>2825</v>
      </c>
      <c r="I376">
        <v>321</v>
      </c>
      <c r="J376" t="s">
        <v>100</v>
      </c>
      <c r="K376" t="s">
        <v>136</v>
      </c>
      <c r="L376" t="str">
        <f t="shared" si="10"/>
        <v>2026</v>
      </c>
      <c r="M376" t="str">
        <f>IF(Table1[[#This Row],[Budget Remaining]]&gt;40000,"Safe",IF(Table1[[#This Row],[Budget Remaining]]&gt;20000,"Managed",IF(Table1[[#This Row],[Budget Remaining]]&gt;5000,"Critical","Refill")))</f>
        <v>Refill</v>
      </c>
    </row>
    <row r="377" spans="1:13" x14ac:dyDescent="0.3">
      <c r="A377" t="s">
        <v>135</v>
      </c>
      <c r="B377" s="1" t="s">
        <v>6</v>
      </c>
      <c r="C377" t="s">
        <v>41</v>
      </c>
      <c r="D377" t="s">
        <v>132</v>
      </c>
      <c r="E377">
        <v>20546</v>
      </c>
      <c r="F377" t="s">
        <v>10</v>
      </c>
      <c r="G377" t="s">
        <v>2</v>
      </c>
      <c r="H377">
        <v>30607</v>
      </c>
      <c r="I377">
        <v>10061</v>
      </c>
      <c r="J377" t="s">
        <v>100</v>
      </c>
      <c r="K377" t="s">
        <v>134</v>
      </c>
      <c r="L377" t="str">
        <f t="shared" si="10"/>
        <v>2026</v>
      </c>
      <c r="M377" t="str">
        <f>IF(Table1[[#This Row],[Budget Remaining]]&gt;40000,"Safe",IF(Table1[[#This Row],[Budget Remaining]]&gt;20000,"Managed",IF(Table1[[#This Row],[Budget Remaining]]&gt;5000,"Critical","Refill")))</f>
        <v>Critical</v>
      </c>
    </row>
    <row r="378" spans="1:13" x14ac:dyDescent="0.3">
      <c r="A378" t="s">
        <v>133</v>
      </c>
      <c r="B378" s="1" t="s">
        <v>6</v>
      </c>
      <c r="C378" t="s">
        <v>41</v>
      </c>
      <c r="D378" t="s">
        <v>132</v>
      </c>
      <c r="E378">
        <v>146985</v>
      </c>
      <c r="F378" t="s">
        <v>3</v>
      </c>
      <c r="G378" t="s">
        <v>2</v>
      </c>
      <c r="H378">
        <v>169236</v>
      </c>
      <c r="I378">
        <v>22251</v>
      </c>
      <c r="J378" t="s">
        <v>51</v>
      </c>
      <c r="K378" t="s">
        <v>131</v>
      </c>
      <c r="L378" t="str">
        <f t="shared" si="10"/>
        <v>2026</v>
      </c>
      <c r="M378" t="str">
        <f>IF(Table1[[#This Row],[Budget Remaining]]&gt;40000,"Safe",IF(Table1[[#This Row],[Budget Remaining]]&gt;20000,"Managed",IF(Table1[[#This Row],[Budget Remaining]]&gt;5000,"Critical","Refill")))</f>
        <v>Managed</v>
      </c>
    </row>
    <row r="379" spans="1:13" x14ac:dyDescent="0.3">
      <c r="A379" t="s">
        <v>130</v>
      </c>
      <c r="B379" s="1" t="s">
        <v>6</v>
      </c>
      <c r="C379" t="s">
        <v>26</v>
      </c>
      <c r="D379" t="s">
        <v>127</v>
      </c>
      <c r="E379">
        <v>131705</v>
      </c>
      <c r="F379" t="s">
        <v>19</v>
      </c>
      <c r="G379" t="s">
        <v>2</v>
      </c>
      <c r="H379">
        <v>138176</v>
      </c>
      <c r="I379">
        <v>6471</v>
      </c>
      <c r="J379" t="s">
        <v>67</v>
      </c>
      <c r="K379" t="s">
        <v>129</v>
      </c>
      <c r="L379" t="str">
        <f t="shared" si="10"/>
        <v>2026</v>
      </c>
      <c r="M379" t="str">
        <f>IF(Table1[[#This Row],[Budget Remaining]]&gt;40000,"Safe",IF(Table1[[#This Row],[Budget Remaining]]&gt;20000,"Managed",IF(Table1[[#This Row],[Budget Remaining]]&gt;5000,"Critical","Refill")))</f>
        <v>Critical</v>
      </c>
    </row>
    <row r="380" spans="1:13" x14ac:dyDescent="0.3">
      <c r="A380" t="s">
        <v>128</v>
      </c>
      <c r="B380" s="1" t="s">
        <v>6</v>
      </c>
      <c r="C380" t="s">
        <v>26</v>
      </c>
      <c r="D380" t="s">
        <v>127</v>
      </c>
      <c r="E380">
        <v>40515</v>
      </c>
      <c r="F380" t="s">
        <v>3</v>
      </c>
      <c r="G380" t="s">
        <v>2</v>
      </c>
      <c r="H380">
        <v>49467</v>
      </c>
      <c r="I380">
        <v>8952</v>
      </c>
      <c r="J380" t="s">
        <v>18</v>
      </c>
      <c r="K380" t="s">
        <v>126</v>
      </c>
      <c r="L380" t="str">
        <f t="shared" si="10"/>
        <v>2026</v>
      </c>
      <c r="M380" t="str">
        <f>IF(Table1[[#This Row],[Budget Remaining]]&gt;40000,"Safe",IF(Table1[[#This Row],[Budget Remaining]]&gt;20000,"Managed",IF(Table1[[#This Row],[Budget Remaining]]&gt;5000,"Critical","Refill")))</f>
        <v>Critical</v>
      </c>
    </row>
    <row r="381" spans="1:13" x14ac:dyDescent="0.3">
      <c r="A381" t="s">
        <v>125</v>
      </c>
      <c r="B381" s="1" t="s">
        <v>6</v>
      </c>
      <c r="C381" t="s">
        <v>21</v>
      </c>
      <c r="D381" t="s">
        <v>20</v>
      </c>
      <c r="E381">
        <v>5401</v>
      </c>
      <c r="F381" t="s">
        <v>19</v>
      </c>
      <c r="G381" t="s">
        <v>24</v>
      </c>
      <c r="H381">
        <v>6717</v>
      </c>
      <c r="I381">
        <v>1316</v>
      </c>
      <c r="J381" t="s">
        <v>83</v>
      </c>
      <c r="K381" t="s">
        <v>124</v>
      </c>
      <c r="L381" t="str">
        <f t="shared" si="10"/>
        <v>2026</v>
      </c>
      <c r="M381" t="str">
        <f>IF(Table1[[#This Row],[Budget Remaining]]&gt;40000,"Safe",IF(Table1[[#This Row],[Budget Remaining]]&gt;20000,"Managed",IF(Table1[[#This Row],[Budget Remaining]]&gt;5000,"Critical","Refill")))</f>
        <v>Refill</v>
      </c>
    </row>
    <row r="382" spans="1:13" x14ac:dyDescent="0.3">
      <c r="A382" t="s">
        <v>123</v>
      </c>
      <c r="B382" t="s">
        <v>105</v>
      </c>
      <c r="C382" t="s">
        <v>26</v>
      </c>
      <c r="D382" t="s">
        <v>113</v>
      </c>
      <c r="E382">
        <v>178460</v>
      </c>
      <c r="F382" t="s">
        <v>35</v>
      </c>
      <c r="G382" t="s">
        <v>2</v>
      </c>
      <c r="H382">
        <v>195842</v>
      </c>
      <c r="I382">
        <v>17382</v>
      </c>
      <c r="J382" t="s">
        <v>15</v>
      </c>
      <c r="K382" t="s">
        <v>122</v>
      </c>
      <c r="L382" t="str">
        <f t="shared" si="10"/>
        <v>2026</v>
      </c>
      <c r="M382" t="str">
        <f>IF(Table1[[#This Row],[Budget Remaining]]&gt;40000,"Safe",IF(Table1[[#This Row],[Budget Remaining]]&gt;20000,"Managed",IF(Table1[[#This Row],[Budget Remaining]]&gt;5000,"Critical","Refill")))</f>
        <v>Critical</v>
      </c>
    </row>
    <row r="383" spans="1:13" x14ac:dyDescent="0.3">
      <c r="A383" t="s">
        <v>121</v>
      </c>
      <c r="B383" t="s">
        <v>105</v>
      </c>
      <c r="C383" t="s">
        <v>69</v>
      </c>
      <c r="D383" t="s">
        <v>116</v>
      </c>
      <c r="E383">
        <v>19141</v>
      </c>
      <c r="F383" t="s">
        <v>35</v>
      </c>
      <c r="G383" t="s">
        <v>24</v>
      </c>
      <c r="H383">
        <v>25181</v>
      </c>
      <c r="I383">
        <v>6040</v>
      </c>
      <c r="J383" t="s">
        <v>15</v>
      </c>
      <c r="K383" t="s">
        <v>120</v>
      </c>
      <c r="L383" t="str">
        <f t="shared" si="10"/>
        <v>2026</v>
      </c>
      <c r="M383" t="str">
        <f>IF(Table1[[#This Row],[Budget Remaining]]&gt;40000,"Safe",IF(Table1[[#This Row],[Budget Remaining]]&gt;20000,"Managed",IF(Table1[[#This Row],[Budget Remaining]]&gt;5000,"Critical","Refill")))</f>
        <v>Critical</v>
      </c>
    </row>
    <row r="384" spans="1:13" x14ac:dyDescent="0.3">
      <c r="A384" t="s">
        <v>119</v>
      </c>
      <c r="B384" t="s">
        <v>105</v>
      </c>
      <c r="C384" t="s">
        <v>69</v>
      </c>
      <c r="D384" t="s">
        <v>116</v>
      </c>
      <c r="E384">
        <v>11657</v>
      </c>
      <c r="F384" t="s">
        <v>10</v>
      </c>
      <c r="G384" t="s">
        <v>2</v>
      </c>
      <c r="H384">
        <v>16712</v>
      </c>
      <c r="I384">
        <v>5055</v>
      </c>
      <c r="J384" t="s">
        <v>18</v>
      </c>
      <c r="K384" t="s">
        <v>118</v>
      </c>
      <c r="L384" t="str">
        <f t="shared" si="10"/>
        <v>2026</v>
      </c>
      <c r="M384" t="str">
        <f>IF(Table1[[#This Row],[Budget Remaining]]&gt;40000,"Safe",IF(Table1[[#This Row],[Budget Remaining]]&gt;20000,"Managed",IF(Table1[[#This Row],[Budget Remaining]]&gt;5000,"Critical","Refill")))</f>
        <v>Critical</v>
      </c>
    </row>
    <row r="385" spans="1:13" x14ac:dyDescent="0.3">
      <c r="A385" t="s">
        <v>117</v>
      </c>
      <c r="B385" t="s">
        <v>105</v>
      </c>
      <c r="C385" t="s">
        <v>69</v>
      </c>
      <c r="D385" t="s">
        <v>116</v>
      </c>
      <c r="E385">
        <v>23510</v>
      </c>
      <c r="F385" t="s">
        <v>3</v>
      </c>
      <c r="G385" t="s">
        <v>2</v>
      </c>
      <c r="H385">
        <v>28683</v>
      </c>
      <c r="I385">
        <v>5173</v>
      </c>
      <c r="J385" t="s">
        <v>1</v>
      </c>
      <c r="K385" t="s">
        <v>115</v>
      </c>
      <c r="L385" t="str">
        <f t="shared" si="10"/>
        <v>2026</v>
      </c>
      <c r="M385" t="str">
        <f>IF(Table1[[#This Row],[Budget Remaining]]&gt;40000,"Safe",IF(Table1[[#This Row],[Budget Remaining]]&gt;20000,"Managed",IF(Table1[[#This Row],[Budget Remaining]]&gt;5000,"Critical","Refill")))</f>
        <v>Critical</v>
      </c>
    </row>
    <row r="386" spans="1:13" x14ac:dyDescent="0.3">
      <c r="A386" t="s">
        <v>114</v>
      </c>
      <c r="B386" t="s">
        <v>105</v>
      </c>
      <c r="C386" t="s">
        <v>26</v>
      </c>
      <c r="D386" t="s">
        <v>113</v>
      </c>
      <c r="E386">
        <v>139967</v>
      </c>
      <c r="F386" t="s">
        <v>35</v>
      </c>
      <c r="G386" t="s">
        <v>2</v>
      </c>
      <c r="H386">
        <v>151383</v>
      </c>
      <c r="I386">
        <v>11416</v>
      </c>
      <c r="J386" t="s">
        <v>67</v>
      </c>
      <c r="K386" t="s">
        <v>112</v>
      </c>
      <c r="L386" t="str">
        <f t="shared" ref="L386:L416" si="12">SUBSTITUTE(2026,1,1)</f>
        <v>2026</v>
      </c>
      <c r="M386" t="str">
        <f>IF(Table1[[#This Row],[Budget Remaining]]&gt;40000,"Safe",IF(Table1[[#This Row],[Budget Remaining]]&gt;20000,"Managed",IF(Table1[[#This Row],[Budget Remaining]]&gt;5000,"Critical","Refill")))</f>
        <v>Critical</v>
      </c>
    </row>
    <row r="387" spans="1:13" x14ac:dyDescent="0.3">
      <c r="A387" t="s">
        <v>111</v>
      </c>
      <c r="B387" t="s">
        <v>105</v>
      </c>
      <c r="C387" t="s">
        <v>32</v>
      </c>
      <c r="D387" t="s">
        <v>110</v>
      </c>
      <c r="E387">
        <v>11451</v>
      </c>
      <c r="F387" t="s">
        <v>3</v>
      </c>
      <c r="G387" t="s">
        <v>2</v>
      </c>
      <c r="H387">
        <v>15384</v>
      </c>
      <c r="I387">
        <v>3933</v>
      </c>
      <c r="J387" t="s">
        <v>67</v>
      </c>
      <c r="K387" t="s">
        <v>109</v>
      </c>
      <c r="L387" t="str">
        <f t="shared" si="12"/>
        <v>2026</v>
      </c>
      <c r="M387" t="str">
        <f>IF(Table1[[#This Row],[Budget Remaining]]&gt;40000,"Safe",IF(Table1[[#This Row],[Budget Remaining]]&gt;20000,"Managed",IF(Table1[[#This Row],[Budget Remaining]]&gt;5000,"Critical","Refill")))</f>
        <v>Refill</v>
      </c>
    </row>
    <row r="388" spans="1:13" x14ac:dyDescent="0.3">
      <c r="A388" t="s">
        <v>108</v>
      </c>
      <c r="B388" t="s">
        <v>105</v>
      </c>
      <c r="C388" t="s">
        <v>21</v>
      </c>
      <c r="D388" t="s">
        <v>104</v>
      </c>
      <c r="E388">
        <v>3016</v>
      </c>
      <c r="F388" t="s">
        <v>35</v>
      </c>
      <c r="G388" t="s">
        <v>2</v>
      </c>
      <c r="H388">
        <v>3773</v>
      </c>
      <c r="I388">
        <v>757</v>
      </c>
      <c r="J388" t="s">
        <v>15</v>
      </c>
      <c r="K388" t="s">
        <v>107</v>
      </c>
      <c r="L388" t="str">
        <f t="shared" si="12"/>
        <v>2026</v>
      </c>
      <c r="M388" t="str">
        <f>IF(Table1[[#This Row],[Budget Remaining]]&gt;40000,"Safe",IF(Table1[[#This Row],[Budget Remaining]]&gt;20000,"Managed",IF(Table1[[#This Row],[Budget Remaining]]&gt;5000,"Critical","Refill")))</f>
        <v>Refill</v>
      </c>
    </row>
    <row r="389" spans="1:13" x14ac:dyDescent="0.3">
      <c r="A389" t="s">
        <v>106</v>
      </c>
      <c r="B389" t="s">
        <v>105</v>
      </c>
      <c r="C389" t="s">
        <v>21</v>
      </c>
      <c r="D389" t="s">
        <v>104</v>
      </c>
      <c r="E389">
        <v>5177</v>
      </c>
      <c r="F389" t="s">
        <v>3</v>
      </c>
      <c r="G389" t="s">
        <v>2</v>
      </c>
      <c r="H389">
        <v>6916</v>
      </c>
      <c r="I389">
        <v>1739</v>
      </c>
      <c r="J389" t="s">
        <v>83</v>
      </c>
      <c r="K389" t="s">
        <v>103</v>
      </c>
      <c r="L389" t="str">
        <f t="shared" si="12"/>
        <v>2026</v>
      </c>
      <c r="M389" t="str">
        <f>IF(Table1[[#This Row],[Budget Remaining]]&gt;40000,"Safe",IF(Table1[[#This Row],[Budget Remaining]]&gt;20000,"Managed",IF(Table1[[#This Row],[Budget Remaining]]&gt;5000,"Critical","Refill")))</f>
        <v>Refill</v>
      </c>
    </row>
    <row r="390" spans="1:13" x14ac:dyDescent="0.3">
      <c r="A390" t="s">
        <v>102</v>
      </c>
      <c r="B390" t="s">
        <v>41</v>
      </c>
      <c r="C390" t="s">
        <v>41</v>
      </c>
      <c r="D390" t="s">
        <v>101</v>
      </c>
      <c r="E390">
        <v>95375</v>
      </c>
      <c r="F390" t="s">
        <v>35</v>
      </c>
      <c r="G390" t="s">
        <v>2</v>
      </c>
      <c r="H390">
        <v>140998</v>
      </c>
      <c r="I390">
        <v>45623</v>
      </c>
      <c r="J390" t="s">
        <v>100</v>
      </c>
      <c r="K390" t="s">
        <v>99</v>
      </c>
      <c r="L390" t="str">
        <f t="shared" si="12"/>
        <v>2026</v>
      </c>
      <c r="M390" t="str">
        <f>IF(Table1[[#This Row],[Budget Remaining]]&gt;40000,"Safe",IF(Table1[[#This Row],[Budget Remaining]]&gt;20000,"Managed",IF(Table1[[#This Row],[Budget Remaining]]&gt;5000,"Critical","Refill")))</f>
        <v>Safe</v>
      </c>
    </row>
    <row r="391" spans="1:13" x14ac:dyDescent="0.3">
      <c r="A391" t="s">
        <v>98</v>
      </c>
      <c r="B391" t="s">
        <v>41</v>
      </c>
      <c r="C391" t="s">
        <v>26</v>
      </c>
      <c r="D391" t="s">
        <v>97</v>
      </c>
      <c r="E391">
        <v>89591</v>
      </c>
      <c r="F391" t="s">
        <v>10</v>
      </c>
      <c r="G391" t="s">
        <v>2</v>
      </c>
      <c r="H391">
        <v>106201</v>
      </c>
      <c r="I391">
        <v>16610</v>
      </c>
      <c r="J391" t="s">
        <v>30</v>
      </c>
      <c r="K391" t="s">
        <v>96</v>
      </c>
      <c r="L391" t="str">
        <f t="shared" si="12"/>
        <v>2026</v>
      </c>
      <c r="M391" t="str">
        <f>IF(Table1[[#This Row],[Budget Remaining]]&gt;40000,"Safe",IF(Table1[[#This Row],[Budget Remaining]]&gt;20000,"Managed",IF(Table1[[#This Row],[Budget Remaining]]&gt;5000,"Critical","Refill")))</f>
        <v>Critical</v>
      </c>
    </row>
    <row r="392" spans="1:13" x14ac:dyDescent="0.3">
      <c r="A392" t="s">
        <v>95</v>
      </c>
      <c r="B392" t="s">
        <v>41</v>
      </c>
      <c r="C392" t="s">
        <v>69</v>
      </c>
      <c r="D392" t="s">
        <v>94</v>
      </c>
      <c r="E392">
        <v>16936</v>
      </c>
      <c r="F392" t="s">
        <v>35</v>
      </c>
      <c r="G392" t="s">
        <v>2</v>
      </c>
      <c r="H392">
        <v>21706</v>
      </c>
      <c r="I392">
        <v>4770</v>
      </c>
      <c r="J392" t="s">
        <v>83</v>
      </c>
      <c r="K392" t="s">
        <v>93</v>
      </c>
      <c r="L392" t="str">
        <f t="shared" si="12"/>
        <v>2026</v>
      </c>
      <c r="M392" t="str">
        <f>IF(Table1[[#This Row],[Budget Remaining]]&gt;40000,"Safe",IF(Table1[[#This Row],[Budget Remaining]]&gt;20000,"Managed",IF(Table1[[#This Row],[Budget Remaining]]&gt;5000,"Critical","Refill")))</f>
        <v>Refill</v>
      </c>
    </row>
    <row r="393" spans="1:13" x14ac:dyDescent="0.3">
      <c r="A393" t="s">
        <v>92</v>
      </c>
      <c r="B393" t="s">
        <v>41</v>
      </c>
      <c r="C393" s="1" t="s">
        <v>12</v>
      </c>
      <c r="D393" t="s">
        <v>91</v>
      </c>
      <c r="E393">
        <v>51348</v>
      </c>
      <c r="F393" t="s">
        <v>35</v>
      </c>
      <c r="G393" t="s">
        <v>2</v>
      </c>
      <c r="H393">
        <v>67928</v>
      </c>
      <c r="I393">
        <v>16580</v>
      </c>
      <c r="J393" t="s">
        <v>1</v>
      </c>
      <c r="K393" t="s">
        <v>90</v>
      </c>
      <c r="L393" t="str">
        <f t="shared" si="12"/>
        <v>2026</v>
      </c>
      <c r="M393" t="str">
        <f>IF(Table1[[#This Row],[Budget Remaining]]&gt;40000,"Safe",IF(Table1[[#This Row],[Budget Remaining]]&gt;20000,"Managed",IF(Table1[[#This Row],[Budget Remaining]]&gt;5000,"Critical","Refill")))</f>
        <v>Critical</v>
      </c>
    </row>
    <row r="394" spans="1:13" x14ac:dyDescent="0.3">
      <c r="A394" t="s">
        <v>89</v>
      </c>
      <c r="B394" t="s">
        <v>80</v>
      </c>
      <c r="C394" t="s">
        <v>69</v>
      </c>
      <c r="D394" t="s">
        <v>88</v>
      </c>
      <c r="E394">
        <v>12659</v>
      </c>
      <c r="F394" t="s">
        <v>10</v>
      </c>
      <c r="G394" t="s">
        <v>2</v>
      </c>
      <c r="H394">
        <v>17929</v>
      </c>
      <c r="I394">
        <v>5270</v>
      </c>
      <c r="J394" t="s">
        <v>83</v>
      </c>
      <c r="K394" t="s">
        <v>87</v>
      </c>
      <c r="L394" t="str">
        <f t="shared" si="12"/>
        <v>2026</v>
      </c>
      <c r="M394" t="str">
        <f>IF(Table1[[#This Row],[Budget Remaining]]&gt;40000,"Safe",IF(Table1[[#This Row],[Budget Remaining]]&gt;20000,"Managed",IF(Table1[[#This Row],[Budget Remaining]]&gt;5000,"Critical","Refill")))</f>
        <v>Critical</v>
      </c>
    </row>
    <row r="395" spans="1:13" x14ac:dyDescent="0.3">
      <c r="A395" t="s">
        <v>86</v>
      </c>
      <c r="B395" t="s">
        <v>80</v>
      </c>
      <c r="C395" t="s">
        <v>21</v>
      </c>
      <c r="D395" t="s">
        <v>79</v>
      </c>
      <c r="E395">
        <v>7032</v>
      </c>
      <c r="F395" t="s">
        <v>35</v>
      </c>
      <c r="G395" t="s">
        <v>2</v>
      </c>
      <c r="H395">
        <v>7788</v>
      </c>
      <c r="I395">
        <v>756</v>
      </c>
      <c r="J395" t="s">
        <v>67</v>
      </c>
      <c r="K395" t="s">
        <v>85</v>
      </c>
      <c r="L395" t="str">
        <f t="shared" si="12"/>
        <v>2026</v>
      </c>
      <c r="M395" t="str">
        <f>IF(Table1[[#This Row],[Budget Remaining]]&gt;40000,"Safe",IF(Table1[[#This Row],[Budget Remaining]]&gt;20000,"Managed",IF(Table1[[#This Row],[Budget Remaining]]&gt;5000,"Critical","Refill")))</f>
        <v>Refill</v>
      </c>
    </row>
    <row r="396" spans="1:13" x14ac:dyDescent="0.3">
      <c r="A396" t="s">
        <v>84</v>
      </c>
      <c r="B396" t="s">
        <v>80</v>
      </c>
      <c r="C396" t="s">
        <v>21</v>
      </c>
      <c r="D396" t="s">
        <v>79</v>
      </c>
      <c r="E396">
        <v>1814</v>
      </c>
      <c r="F396" t="s">
        <v>35</v>
      </c>
      <c r="G396" t="s">
        <v>2</v>
      </c>
      <c r="H396">
        <v>2109</v>
      </c>
      <c r="I396">
        <v>295</v>
      </c>
      <c r="J396" t="s">
        <v>83</v>
      </c>
      <c r="K396" t="s">
        <v>82</v>
      </c>
      <c r="L396" t="str">
        <f t="shared" si="12"/>
        <v>2026</v>
      </c>
      <c r="M396" t="str">
        <f>IF(Table1[[#This Row],[Budget Remaining]]&gt;40000,"Safe",IF(Table1[[#This Row],[Budget Remaining]]&gt;20000,"Managed",IF(Table1[[#This Row],[Budget Remaining]]&gt;5000,"Critical","Refill")))</f>
        <v>Refill</v>
      </c>
    </row>
    <row r="397" spans="1:13" x14ac:dyDescent="0.3">
      <c r="A397" t="s">
        <v>81</v>
      </c>
      <c r="B397" t="s">
        <v>80</v>
      </c>
      <c r="C397" t="s">
        <v>21</v>
      </c>
      <c r="D397" t="s">
        <v>79</v>
      </c>
      <c r="E397">
        <v>2794</v>
      </c>
      <c r="F397" t="s">
        <v>35</v>
      </c>
      <c r="G397" t="s">
        <v>2</v>
      </c>
      <c r="H397">
        <v>4173</v>
      </c>
      <c r="I397">
        <v>1379</v>
      </c>
      <c r="J397" t="s">
        <v>67</v>
      </c>
      <c r="K397" t="s">
        <v>78</v>
      </c>
      <c r="L397" t="str">
        <f>SUBSTITUTE(2025,1,1)</f>
        <v>2025</v>
      </c>
      <c r="M397" t="str">
        <f>IF(Table1[[#This Row],[Budget Remaining]]&gt;40000,"Safe",IF(Table1[[#This Row],[Budget Remaining]]&gt;20000,"Managed",IF(Table1[[#This Row],[Budget Remaining]]&gt;5000,"Critical","Refill")))</f>
        <v>Refill</v>
      </c>
    </row>
    <row r="398" spans="1:13" x14ac:dyDescent="0.3">
      <c r="A398" t="s">
        <v>77</v>
      </c>
      <c r="B398" t="s">
        <v>55</v>
      </c>
      <c r="C398" t="s">
        <v>32</v>
      </c>
      <c r="D398" t="s">
        <v>64</v>
      </c>
      <c r="E398">
        <v>5522</v>
      </c>
      <c r="F398" t="s">
        <v>10</v>
      </c>
      <c r="G398" t="s">
        <v>2</v>
      </c>
      <c r="H398">
        <v>7007</v>
      </c>
      <c r="I398">
        <v>1485</v>
      </c>
      <c r="J398" t="s">
        <v>44</v>
      </c>
      <c r="K398" t="s">
        <v>76</v>
      </c>
      <c r="L398" t="str">
        <f t="shared" si="12"/>
        <v>2026</v>
      </c>
      <c r="M398" t="str">
        <f>IF(Table1[[#This Row],[Budget Remaining]]&gt;40000,"Safe",IF(Table1[[#This Row],[Budget Remaining]]&gt;20000,"Managed",IF(Table1[[#This Row],[Budget Remaining]]&gt;5000,"Critical","Refill")))</f>
        <v>Refill</v>
      </c>
    </row>
    <row r="399" spans="1:13" x14ac:dyDescent="0.3">
      <c r="A399" t="s">
        <v>75</v>
      </c>
      <c r="B399" t="s">
        <v>55</v>
      </c>
      <c r="C399" t="s">
        <v>5</v>
      </c>
      <c r="D399" t="s">
        <v>74</v>
      </c>
      <c r="E399">
        <v>23269</v>
      </c>
      <c r="F399" t="s">
        <v>35</v>
      </c>
      <c r="G399" t="s">
        <v>2</v>
      </c>
      <c r="H399">
        <v>34638</v>
      </c>
      <c r="I399">
        <v>11369</v>
      </c>
      <c r="J399" t="s">
        <v>9</v>
      </c>
      <c r="K399" t="s">
        <v>73</v>
      </c>
      <c r="L399" t="str">
        <f t="shared" si="12"/>
        <v>2026</v>
      </c>
      <c r="M399" t="str">
        <f>IF(Table1[[#This Row],[Budget Remaining]]&gt;40000,"Safe",IF(Table1[[#This Row],[Budget Remaining]]&gt;20000,"Managed",IF(Table1[[#This Row],[Budget Remaining]]&gt;5000,"Critical","Refill")))</f>
        <v>Critical</v>
      </c>
    </row>
    <row r="400" spans="1:13" x14ac:dyDescent="0.3">
      <c r="A400" t="s">
        <v>72</v>
      </c>
      <c r="B400" t="s">
        <v>55</v>
      </c>
      <c r="C400" t="s">
        <v>69</v>
      </c>
      <c r="D400" t="s">
        <v>68</v>
      </c>
      <c r="E400">
        <v>21811</v>
      </c>
      <c r="F400" t="s">
        <v>35</v>
      </c>
      <c r="G400" t="s">
        <v>2</v>
      </c>
      <c r="H400">
        <v>23992</v>
      </c>
      <c r="I400">
        <v>2181</v>
      </c>
      <c r="J400" t="s">
        <v>30</v>
      </c>
      <c r="K400" t="s">
        <v>71</v>
      </c>
      <c r="L400" t="str">
        <f t="shared" si="12"/>
        <v>2026</v>
      </c>
      <c r="M400" t="str">
        <f>IF(Table1[[#This Row],[Budget Remaining]]&gt;40000,"Safe",IF(Table1[[#This Row],[Budget Remaining]]&gt;20000,"Managed",IF(Table1[[#This Row],[Budget Remaining]]&gt;5000,"Critical","Refill")))</f>
        <v>Refill</v>
      </c>
    </row>
    <row r="401" spans="1:13" x14ac:dyDescent="0.3">
      <c r="A401" t="s">
        <v>70</v>
      </c>
      <c r="B401" t="s">
        <v>55</v>
      </c>
      <c r="C401" t="s">
        <v>69</v>
      </c>
      <c r="D401" t="s">
        <v>68</v>
      </c>
      <c r="E401">
        <v>21241</v>
      </c>
      <c r="F401" t="s">
        <v>19</v>
      </c>
      <c r="G401" t="s">
        <v>2</v>
      </c>
      <c r="H401">
        <v>26881</v>
      </c>
      <c r="I401">
        <v>5640</v>
      </c>
      <c r="J401" t="s">
        <v>67</v>
      </c>
      <c r="K401" t="s">
        <v>66</v>
      </c>
      <c r="L401" t="str">
        <f t="shared" si="12"/>
        <v>2026</v>
      </c>
      <c r="M401" t="str">
        <f>IF(Table1[[#This Row],[Budget Remaining]]&gt;40000,"Safe",IF(Table1[[#This Row],[Budget Remaining]]&gt;20000,"Managed",IF(Table1[[#This Row],[Budget Remaining]]&gt;5000,"Critical","Refill")))</f>
        <v>Critical</v>
      </c>
    </row>
    <row r="402" spans="1:13" x14ac:dyDescent="0.3">
      <c r="A402" t="s">
        <v>65</v>
      </c>
      <c r="B402" t="s">
        <v>55</v>
      </c>
      <c r="C402" t="s">
        <v>32</v>
      </c>
      <c r="D402" t="s">
        <v>64</v>
      </c>
      <c r="E402">
        <v>13659</v>
      </c>
      <c r="F402" t="s">
        <v>3</v>
      </c>
      <c r="G402" t="s">
        <v>2</v>
      </c>
      <c r="H402">
        <v>16704</v>
      </c>
      <c r="I402">
        <v>3045</v>
      </c>
      <c r="J402" t="s">
        <v>44</v>
      </c>
      <c r="K402" t="s">
        <v>63</v>
      </c>
      <c r="L402" t="str">
        <f t="shared" si="12"/>
        <v>2026</v>
      </c>
      <c r="M402" t="str">
        <f>IF(Table1[[#This Row],[Budget Remaining]]&gt;40000,"Safe",IF(Table1[[#This Row],[Budget Remaining]]&gt;20000,"Managed",IF(Table1[[#This Row],[Budget Remaining]]&gt;5000,"Critical","Refill")))</f>
        <v>Refill</v>
      </c>
    </row>
    <row r="403" spans="1:13" x14ac:dyDescent="0.3">
      <c r="A403" t="s">
        <v>62</v>
      </c>
      <c r="B403" t="s">
        <v>55</v>
      </c>
      <c r="C403" t="s">
        <v>26</v>
      </c>
      <c r="D403" t="s">
        <v>61</v>
      </c>
      <c r="E403">
        <v>104949</v>
      </c>
      <c r="F403" t="s">
        <v>10</v>
      </c>
      <c r="G403" t="s">
        <v>2</v>
      </c>
      <c r="H403">
        <v>122424</v>
      </c>
      <c r="I403">
        <v>17475</v>
      </c>
      <c r="J403" t="s">
        <v>51</v>
      </c>
      <c r="K403" t="s">
        <v>60</v>
      </c>
      <c r="L403" t="str">
        <f t="shared" si="12"/>
        <v>2026</v>
      </c>
      <c r="M403" t="str">
        <f>IF(Table1[[#This Row],[Budget Remaining]]&gt;40000,"Safe",IF(Table1[[#This Row],[Budget Remaining]]&gt;20000,"Managed",IF(Table1[[#This Row],[Budget Remaining]]&gt;5000,"Critical","Refill")))</f>
        <v>Critical</v>
      </c>
    </row>
    <row r="404" spans="1:13" x14ac:dyDescent="0.3">
      <c r="A404" t="s">
        <v>59</v>
      </c>
      <c r="B404" t="s">
        <v>55</v>
      </c>
      <c r="C404" t="s">
        <v>41</v>
      </c>
      <c r="D404" t="s">
        <v>58</v>
      </c>
      <c r="E404">
        <v>41245</v>
      </c>
      <c r="F404" t="s">
        <v>35</v>
      </c>
      <c r="G404" t="s">
        <v>2</v>
      </c>
      <c r="H404">
        <v>54490</v>
      </c>
      <c r="I404">
        <v>13245</v>
      </c>
      <c r="J404" t="s">
        <v>1</v>
      </c>
      <c r="K404" t="s">
        <v>57</v>
      </c>
      <c r="L404" t="str">
        <f t="shared" si="12"/>
        <v>2026</v>
      </c>
      <c r="M404" t="str">
        <f>IF(Table1[[#This Row],[Budget Remaining]]&gt;40000,"Safe",IF(Table1[[#This Row],[Budget Remaining]]&gt;20000,"Managed",IF(Table1[[#This Row],[Budget Remaining]]&gt;5000,"Critical","Refill")))</f>
        <v>Critical</v>
      </c>
    </row>
    <row r="405" spans="1:13" x14ac:dyDescent="0.3">
      <c r="A405" t="s">
        <v>56</v>
      </c>
      <c r="B405" t="s">
        <v>55</v>
      </c>
      <c r="C405" t="s">
        <v>37</v>
      </c>
      <c r="D405" t="s">
        <v>54</v>
      </c>
      <c r="E405">
        <v>72143</v>
      </c>
      <c r="F405" t="s">
        <v>35</v>
      </c>
      <c r="G405" t="s">
        <v>2</v>
      </c>
      <c r="H405">
        <v>85615</v>
      </c>
      <c r="I405">
        <v>13472</v>
      </c>
      <c r="J405" t="s">
        <v>18</v>
      </c>
      <c r="K405" t="s">
        <v>53</v>
      </c>
      <c r="L405" t="str">
        <f>SUBSTITUTE(2025,1,1)</f>
        <v>2025</v>
      </c>
      <c r="M405" t="str">
        <f>IF(Table1[[#This Row],[Budget Remaining]]&gt;40000,"Safe",IF(Table1[[#This Row],[Budget Remaining]]&gt;20000,"Managed",IF(Table1[[#This Row],[Budget Remaining]]&gt;5000,"Critical","Refill")))</f>
        <v>Critical</v>
      </c>
    </row>
    <row r="406" spans="1:13" x14ac:dyDescent="0.3">
      <c r="A406" t="s">
        <v>52</v>
      </c>
      <c r="B406" t="s">
        <v>27</v>
      </c>
      <c r="C406" t="s">
        <v>26</v>
      </c>
      <c r="D406" t="s">
        <v>25</v>
      </c>
      <c r="E406">
        <v>84094</v>
      </c>
      <c r="F406" t="s">
        <v>19</v>
      </c>
      <c r="G406" t="s">
        <v>2</v>
      </c>
      <c r="H406">
        <v>108263</v>
      </c>
      <c r="I406">
        <v>24169</v>
      </c>
      <c r="J406" t="s">
        <v>51</v>
      </c>
      <c r="K406" t="s">
        <v>50</v>
      </c>
      <c r="L406" t="str">
        <f t="shared" si="12"/>
        <v>2026</v>
      </c>
      <c r="M406" t="str">
        <f>IF(Table1[[#This Row],[Budget Remaining]]&gt;40000,"Safe",IF(Table1[[#This Row],[Budget Remaining]]&gt;20000,"Managed",IF(Table1[[#This Row],[Budget Remaining]]&gt;5000,"Critical","Refill")))</f>
        <v>Managed</v>
      </c>
    </row>
    <row r="407" spans="1:13" x14ac:dyDescent="0.3">
      <c r="A407" t="s">
        <v>49</v>
      </c>
      <c r="B407" t="s">
        <v>27</v>
      </c>
      <c r="C407" t="s">
        <v>5</v>
      </c>
      <c r="D407" t="s">
        <v>48</v>
      </c>
      <c r="E407">
        <v>36849</v>
      </c>
      <c r="F407" t="s">
        <v>19</v>
      </c>
      <c r="G407" t="s">
        <v>24</v>
      </c>
      <c r="H407">
        <v>39764</v>
      </c>
      <c r="I407">
        <v>2915</v>
      </c>
      <c r="J407" t="s">
        <v>44</v>
      </c>
      <c r="K407" t="s">
        <v>47</v>
      </c>
      <c r="L407" t="str">
        <f t="shared" si="12"/>
        <v>2026</v>
      </c>
      <c r="M407" t="str">
        <f>IF(Table1[[#This Row],[Budget Remaining]]&gt;40000,"Safe",IF(Table1[[#This Row],[Budget Remaining]]&gt;20000,"Managed",IF(Table1[[#This Row],[Budget Remaining]]&gt;5000,"Critical","Refill")))</f>
        <v>Refill</v>
      </c>
    </row>
    <row r="408" spans="1:13" x14ac:dyDescent="0.3">
      <c r="A408" t="s">
        <v>46</v>
      </c>
      <c r="B408" t="s">
        <v>27</v>
      </c>
      <c r="C408" t="s">
        <v>21</v>
      </c>
      <c r="D408" t="s">
        <v>45</v>
      </c>
      <c r="E408">
        <v>6659</v>
      </c>
      <c r="F408" t="s">
        <v>35</v>
      </c>
      <c r="G408" t="s">
        <v>2</v>
      </c>
      <c r="H408">
        <v>6902</v>
      </c>
      <c r="I408">
        <v>243</v>
      </c>
      <c r="J408" t="s">
        <v>44</v>
      </c>
      <c r="K408" t="s">
        <v>43</v>
      </c>
      <c r="L408" t="str">
        <f t="shared" si="12"/>
        <v>2026</v>
      </c>
      <c r="M408" t="str">
        <f>IF(Table1[[#This Row],[Budget Remaining]]&gt;40000,"Safe",IF(Table1[[#This Row],[Budget Remaining]]&gt;20000,"Managed",IF(Table1[[#This Row],[Budget Remaining]]&gt;5000,"Critical","Refill")))</f>
        <v>Refill</v>
      </c>
    </row>
    <row r="409" spans="1:13" x14ac:dyDescent="0.3">
      <c r="A409" t="s">
        <v>42</v>
      </c>
      <c r="B409" t="s">
        <v>27</v>
      </c>
      <c r="C409" t="s">
        <v>41</v>
      </c>
      <c r="D409" t="s">
        <v>40</v>
      </c>
      <c r="E409">
        <v>96620</v>
      </c>
      <c r="F409" t="s">
        <v>10</v>
      </c>
      <c r="G409" t="s">
        <v>2</v>
      </c>
      <c r="H409">
        <v>100148</v>
      </c>
      <c r="I409">
        <v>3528</v>
      </c>
      <c r="J409" t="s">
        <v>18</v>
      </c>
      <c r="K409" t="s">
        <v>39</v>
      </c>
      <c r="L409" t="str">
        <f t="shared" si="12"/>
        <v>2026</v>
      </c>
      <c r="M409" t="str">
        <f>IF(Table1[[#This Row],[Budget Remaining]]&gt;40000,"Safe",IF(Table1[[#This Row],[Budget Remaining]]&gt;20000,"Managed",IF(Table1[[#This Row],[Budget Remaining]]&gt;5000,"Critical","Refill")))</f>
        <v>Refill</v>
      </c>
    </row>
    <row r="410" spans="1:13" x14ac:dyDescent="0.3">
      <c r="A410" t="s">
        <v>38</v>
      </c>
      <c r="B410" t="s">
        <v>27</v>
      </c>
      <c r="C410" t="s">
        <v>37</v>
      </c>
      <c r="D410" t="s">
        <v>36</v>
      </c>
      <c r="E410">
        <v>57620</v>
      </c>
      <c r="F410" t="s">
        <v>35</v>
      </c>
      <c r="G410" t="s">
        <v>2</v>
      </c>
      <c r="H410">
        <v>74178</v>
      </c>
      <c r="I410">
        <v>16558</v>
      </c>
      <c r="J410" t="s">
        <v>1</v>
      </c>
      <c r="K410" t="s">
        <v>34</v>
      </c>
      <c r="L410" t="str">
        <f t="shared" si="12"/>
        <v>2026</v>
      </c>
      <c r="M410" t="str">
        <f>IF(Table1[[#This Row],[Budget Remaining]]&gt;40000,"Safe",IF(Table1[[#This Row],[Budget Remaining]]&gt;20000,"Managed",IF(Table1[[#This Row],[Budget Remaining]]&gt;5000,"Critical","Refill")))</f>
        <v>Critical</v>
      </c>
    </row>
    <row r="411" spans="1:13" x14ac:dyDescent="0.3">
      <c r="A411" t="s">
        <v>33</v>
      </c>
      <c r="B411" t="s">
        <v>27</v>
      </c>
      <c r="C411" t="s">
        <v>32</v>
      </c>
      <c r="D411" t="s">
        <v>31</v>
      </c>
      <c r="E411">
        <v>7998</v>
      </c>
      <c r="F411" t="s">
        <v>3</v>
      </c>
      <c r="G411" t="s">
        <v>24</v>
      </c>
      <c r="H411">
        <v>8600</v>
      </c>
      <c r="I411">
        <v>602</v>
      </c>
      <c r="J411" t="s">
        <v>30</v>
      </c>
      <c r="K411" t="s">
        <v>29</v>
      </c>
      <c r="L411" t="str">
        <f t="shared" si="12"/>
        <v>2026</v>
      </c>
      <c r="M411" t="str">
        <f>IF(Table1[[#This Row],[Budget Remaining]]&gt;40000,"Safe",IF(Table1[[#This Row],[Budget Remaining]]&gt;20000,"Managed",IF(Table1[[#This Row],[Budget Remaining]]&gt;5000,"Critical","Refill")))</f>
        <v>Refill</v>
      </c>
    </row>
    <row r="412" spans="1:13" x14ac:dyDescent="0.3">
      <c r="A412" t="s">
        <v>28</v>
      </c>
      <c r="B412" t="s">
        <v>27</v>
      </c>
      <c r="C412" t="s">
        <v>26</v>
      </c>
      <c r="D412" t="s">
        <v>25</v>
      </c>
      <c r="E412">
        <v>181340</v>
      </c>
      <c r="F412" t="s">
        <v>10</v>
      </c>
      <c r="G412" t="s">
        <v>24</v>
      </c>
      <c r="H412">
        <v>241672</v>
      </c>
      <c r="I412">
        <v>60332</v>
      </c>
      <c r="J412" t="s">
        <v>9</v>
      </c>
      <c r="K412" t="s">
        <v>23</v>
      </c>
      <c r="L412" t="str">
        <f t="shared" si="12"/>
        <v>2026</v>
      </c>
      <c r="M412" t="str">
        <f>IF(Table1[[#This Row],[Budget Remaining]]&gt;40000,"Safe",IF(Table1[[#This Row],[Budget Remaining]]&gt;20000,"Managed",IF(Table1[[#This Row],[Budget Remaining]]&gt;5000,"Critical","Refill")))</f>
        <v>Safe</v>
      </c>
    </row>
    <row r="413" spans="1:13" x14ac:dyDescent="0.3">
      <c r="A413" t="s">
        <v>22</v>
      </c>
      <c r="B413" s="1" t="s">
        <v>6</v>
      </c>
      <c r="C413" t="s">
        <v>21</v>
      </c>
      <c r="D413" t="s">
        <v>20</v>
      </c>
      <c r="E413">
        <v>3027</v>
      </c>
      <c r="F413" t="s">
        <v>19</v>
      </c>
      <c r="G413" t="s">
        <v>2</v>
      </c>
      <c r="H413">
        <v>3302</v>
      </c>
      <c r="I413">
        <v>275</v>
      </c>
      <c r="J413" t="s">
        <v>18</v>
      </c>
      <c r="K413" t="s">
        <v>17</v>
      </c>
      <c r="L413" t="str">
        <f>SUBSTITUTE(2025,1,1)</f>
        <v>2025</v>
      </c>
      <c r="M413" t="str">
        <f>IF(Table1[[#This Row],[Budget Remaining]]&gt;40000,"Safe",IF(Table1[[#This Row],[Budget Remaining]]&gt;20000,"Managed",IF(Table1[[#This Row],[Budget Remaining]]&gt;5000,"Critical","Refill")))</f>
        <v>Refill</v>
      </c>
    </row>
    <row r="414" spans="1:13" x14ac:dyDescent="0.3">
      <c r="A414" t="s">
        <v>16</v>
      </c>
      <c r="B414" s="1" t="s">
        <v>6</v>
      </c>
      <c r="C414" t="s">
        <v>5</v>
      </c>
      <c r="D414" t="s">
        <v>4</v>
      </c>
      <c r="E414">
        <v>23460</v>
      </c>
      <c r="F414" t="s">
        <v>3</v>
      </c>
      <c r="G414" t="s">
        <v>2</v>
      </c>
      <c r="H414">
        <v>33672</v>
      </c>
      <c r="I414">
        <v>10212</v>
      </c>
      <c r="J414" t="s">
        <v>15</v>
      </c>
      <c r="K414" t="s">
        <v>14</v>
      </c>
      <c r="L414" t="str">
        <f t="shared" si="12"/>
        <v>2026</v>
      </c>
      <c r="M414" t="str">
        <f>IF(Table1[[#This Row],[Budget Remaining]]&gt;40000,"Safe",IF(Table1[[#This Row],[Budget Remaining]]&gt;20000,"Managed",IF(Table1[[#This Row],[Budget Remaining]]&gt;5000,"Critical","Refill")))</f>
        <v>Critical</v>
      </c>
    </row>
    <row r="415" spans="1:13" x14ac:dyDescent="0.3">
      <c r="A415" t="s">
        <v>13</v>
      </c>
      <c r="B415" s="1" t="s">
        <v>6</v>
      </c>
      <c r="C415" s="1" t="s">
        <v>12</v>
      </c>
      <c r="D415" t="s">
        <v>11</v>
      </c>
      <c r="E415">
        <v>40530</v>
      </c>
      <c r="F415" t="s">
        <v>10</v>
      </c>
      <c r="G415" t="s">
        <v>2</v>
      </c>
      <c r="H415">
        <v>45251</v>
      </c>
      <c r="I415">
        <v>4721</v>
      </c>
      <c r="J415" t="s">
        <v>9</v>
      </c>
      <c r="K415" t="s">
        <v>8</v>
      </c>
      <c r="L415" t="str">
        <f t="shared" si="12"/>
        <v>2026</v>
      </c>
      <c r="M415" t="str">
        <f>IF(Table1[[#This Row],[Budget Remaining]]&gt;40000,"Safe",IF(Table1[[#This Row],[Budget Remaining]]&gt;20000,"Managed",IF(Table1[[#This Row],[Budget Remaining]]&gt;5000,"Critical","Refill")))</f>
        <v>Refill</v>
      </c>
    </row>
    <row r="416" spans="1:13" x14ac:dyDescent="0.3">
      <c r="A416" t="s">
        <v>7</v>
      </c>
      <c r="B416" s="1" t="s">
        <v>6</v>
      </c>
      <c r="C416" t="s">
        <v>5</v>
      </c>
      <c r="D416" t="s">
        <v>4</v>
      </c>
      <c r="E416">
        <v>26583</v>
      </c>
      <c r="F416" t="s">
        <v>3</v>
      </c>
      <c r="G416" t="s">
        <v>2</v>
      </c>
      <c r="H416">
        <v>26921</v>
      </c>
      <c r="I416">
        <v>338</v>
      </c>
      <c r="J416" t="s">
        <v>1</v>
      </c>
      <c r="K416" t="s">
        <v>0</v>
      </c>
      <c r="L416" t="str">
        <f t="shared" si="12"/>
        <v>2026</v>
      </c>
      <c r="M416" t="str">
        <f>IF(Table1[[#This Row],[Budget Remaining]]&gt;40000,"Safe",IF(Table1[[#This Row],[Budget Remaining]]&gt;20000,"Managed",IF(Table1[[#This Row],[Budget Remaining]]&gt;5000,"Critical","Refill")))</f>
        <v>Refill</v>
      </c>
    </row>
  </sheetData>
  <conditionalFormatting sqref="B2:B389">
    <cfRule type="containsText" dxfId="94" priority="24" operator="containsText" text="Engineering">
      <formula>NOT(ISERROR(SEARCH("Engineering",B2)))</formula>
    </cfRule>
  </conditionalFormatting>
  <conditionalFormatting sqref="B5:B393">
    <cfRule type="containsText" dxfId="93" priority="21" operator="containsText" text="Marketing">
      <formula>NOT(ISERROR(SEARCH("Marketing",B5)))</formula>
    </cfRule>
  </conditionalFormatting>
  <conditionalFormatting sqref="B8:B397">
    <cfRule type="containsText" dxfId="92" priority="19" operator="containsText" text="Sales">
      <formula>NOT(ISERROR(SEARCH("Sales",B8)))</formula>
    </cfRule>
  </conditionalFormatting>
  <conditionalFormatting sqref="B15:B405">
    <cfRule type="containsText" dxfId="91" priority="22" operator="containsText" text="HR">
      <formula>NOT(ISERROR(SEARCH("HR",B15)))</formula>
    </cfRule>
  </conditionalFormatting>
  <conditionalFormatting sqref="B21:B412">
    <cfRule type="containsText" dxfId="90" priority="23" operator="containsText" text="Finance">
      <formula>NOT(ISERROR(SEARCH("Finance",B21)))</formula>
    </cfRule>
  </conditionalFormatting>
  <conditionalFormatting sqref="B29:B416">
    <cfRule type="containsText" dxfId="89" priority="20" operator="containsText" text="Operations">
      <formula>NOT(ISERROR(SEARCH("Operations",B29)))</formula>
    </cfRule>
  </conditionalFormatting>
  <conditionalFormatting sqref="C2:C416">
    <cfRule type="containsText" dxfId="88" priority="28" operator="containsText" text="Software">
      <formula>NOT(ISERROR(SEARCH("Software",C2)))</formula>
    </cfRule>
  </conditionalFormatting>
  <conditionalFormatting sqref="C3:C409">
    <cfRule type="containsText" dxfId="87" priority="30" operator="containsText" text="Marketing">
      <formula>NOT(ISERROR(SEARCH("Marketing",C3)))</formula>
    </cfRule>
  </conditionalFormatting>
  <conditionalFormatting sqref="C4:C413">
    <cfRule type="containsText" dxfId="86" priority="29" operator="containsText" text="Office Supplies">
      <formula>NOT(ISERROR(SEARCH("Office Supplies",C4)))</formula>
    </cfRule>
  </conditionalFormatting>
  <conditionalFormatting sqref="C5:C412">
    <cfRule type="containsText" dxfId="85" priority="32" operator="containsText" text="Consulting">
      <formula>NOT(ISERROR(SEARCH("Consulting",C5)))</formula>
    </cfRule>
  </conditionalFormatting>
  <conditionalFormatting sqref="C6:C415">
    <cfRule type="containsText" dxfId="84" priority="6" operator="containsText" text="Equipment">
      <formula>NOT(ISERROR(SEARCH("Equipment",C6)))</formula>
    </cfRule>
    <cfRule type="containsText" dxfId="83" priority="31" operator="containsText" text="Equipment">
      <formula>NOT(ISERROR(SEARCH("Equipment",C6)))</formula>
    </cfRule>
  </conditionalFormatting>
  <conditionalFormatting sqref="C10:C411">
    <cfRule type="containsText" dxfId="82" priority="25" operator="containsText" text="Utilities">
      <formula>NOT(ISERROR(SEARCH("Utilities",C10)))</formula>
    </cfRule>
  </conditionalFormatting>
  <conditionalFormatting sqref="C11:C410">
    <cfRule type="containsText" dxfId="81" priority="26" operator="containsText" text="Travel">
      <formula>NOT(ISERROR(SEARCH("Travel",C11)))</formula>
    </cfRule>
  </conditionalFormatting>
  <conditionalFormatting sqref="C35:C401">
    <cfRule type="containsText" dxfId="80" priority="27" operator="containsText" text="Training">
      <formula>NOT(ISERROR(SEARCH("Training",C35)))</formula>
    </cfRule>
  </conditionalFormatting>
  <conditionalFormatting sqref="D2:D416">
    <cfRule type="containsText" dxfId="79" priority="10" operator="containsText" text="Software expense ">
      <formula>NOT(ISERROR(SEARCH("Software expense ",D2)))</formula>
    </cfRule>
  </conditionalFormatting>
  <conditionalFormatting sqref="D3:D409">
    <cfRule type="containsText" dxfId="78" priority="9" operator="containsText" text="Marketing expense ">
      <formula>NOT(ISERROR(SEARCH("Marketing expense ",D3)))</formula>
    </cfRule>
    <cfRule type="containsText" dxfId="77" priority="16" operator="containsText" text="Marketing expense ">
      <formula>NOT(ISERROR(SEARCH("Marketing expense ",D3)))</formula>
    </cfRule>
  </conditionalFormatting>
  <conditionalFormatting sqref="D4:D413">
    <cfRule type="containsText" dxfId="76" priority="8" operator="containsText" text="Office Supplies expense ">
      <formula>NOT(ISERROR(SEARCH("Office Supplies expense ",D4)))</formula>
    </cfRule>
    <cfRule type="containsText" dxfId="75" priority="15" operator="containsText" text="Office Supplies expense ">
      <formula>NOT(ISERROR(SEARCH("Office Supplies expense ",D4)))</formula>
    </cfRule>
  </conditionalFormatting>
  <conditionalFormatting sqref="D5:D412">
    <cfRule type="containsText" dxfId="74" priority="11" operator="containsText" text="Consulting expense ">
      <formula>NOT(ISERROR(SEARCH("Consulting expense ",D5)))</formula>
    </cfRule>
    <cfRule type="containsText" dxfId="73" priority="18" operator="containsText" text="Consulting expense ">
      <formula>NOT(ISERROR(SEARCH("Consulting expense ",D5)))</formula>
    </cfRule>
  </conditionalFormatting>
  <conditionalFormatting sqref="D6:D415">
    <cfRule type="containsText" dxfId="72" priority="7" operator="containsText" text="Equipment expense ">
      <formula>NOT(ISERROR(SEARCH("Equipment expense ",D6)))</formula>
    </cfRule>
    <cfRule type="containsText" dxfId="71" priority="17" operator="containsText" text="Equipment expense ">
      <formula>NOT(ISERROR(SEARCH("Equipment expense ",D6)))</formula>
    </cfRule>
  </conditionalFormatting>
  <conditionalFormatting sqref="D10:D411">
    <cfRule type="containsText" dxfId="70" priority="12" operator="containsText" text="Utilities expense ">
      <formula>NOT(ISERROR(SEARCH("Utilities expense ",D10)))</formula>
    </cfRule>
  </conditionalFormatting>
  <conditionalFormatting sqref="D11:D410">
    <cfRule type="containsText" dxfId="69" priority="13" operator="containsText" text="Travel expense ">
      <formula>NOT(ISERROR(SEARCH("Travel expense ",D11)))</formula>
    </cfRule>
  </conditionalFormatting>
  <conditionalFormatting sqref="D35:D401">
    <cfRule type="containsText" dxfId="68" priority="14" operator="containsText" text="Training expense ">
      <formula>NOT(ISERROR(SEARCH("Training expense ",D35)))</formula>
    </cfRule>
  </conditionalFormatting>
  <conditionalFormatting sqref="F2:F415">
    <cfRule type="containsText" dxfId="67" priority="4" operator="containsText" text="Cash">
      <formula>NOT(ISERROR(SEARCH("Cash",F2)))</formula>
    </cfRule>
  </conditionalFormatting>
  <conditionalFormatting sqref="F3:F413">
    <cfRule type="containsText" dxfId="66" priority="2" operator="containsText" text="Credit Card">
      <formula>NOT(ISERROR(SEARCH("Credit Card",F3)))</formula>
    </cfRule>
  </conditionalFormatting>
  <conditionalFormatting sqref="F6:F410">
    <cfRule type="containsText" dxfId="65" priority="3" operator="containsText" text="Cheque">
      <formula>NOT(ISERROR(SEARCH("Cheque",F6)))</formula>
    </cfRule>
  </conditionalFormatting>
  <conditionalFormatting sqref="F9:F416">
    <cfRule type="containsText" dxfId="64" priority="5" operator="containsText" text="Bank Transfer">
      <formula>NOT(ISERROR(SEARCH("Bank Transfer",F9)))</formula>
    </cfRule>
  </conditionalFormatting>
  <conditionalFormatting sqref="G2:G416">
    <cfRule type="containsText" dxfId="63" priority="33" operator="containsText" text="No">
      <formula>NOT(ISERROR(SEARCH("No",G2)))</formula>
    </cfRule>
    <cfRule type="containsText" dxfId="62" priority="34" operator="containsText" text="Yes">
      <formula>NOT(ISERROR(SEARCH("Yes",G2)))</formula>
    </cfRule>
  </conditionalFormatting>
  <conditionalFormatting sqref="L2:L416">
    <cfRule type="containsText" dxfId="61" priority="1" operator="containsText" text="2026">
      <formula>NOT(ISERROR(SEARCH("2026",L2)))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C532-741F-4AF9-8DC2-018211862BDA}">
  <dimension ref="A1"/>
  <sheetViews>
    <sheetView showGridLines="0" showRowColHeaders="0" tabSelected="1" zoomScale="59" zoomScaleNormal="121" workbookViewId="0">
      <selection sqref="A1:XFD1048576"/>
    </sheetView>
  </sheetViews>
  <sheetFormatPr defaultRowHeight="14.4" x14ac:dyDescent="0.3"/>
  <cols>
    <col min="1" max="16384" width="8.88671875" style="2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2332B-3789-48C8-A785-03E27F46EB36}">
  <dimension ref="A1:R47"/>
  <sheetViews>
    <sheetView workbookViewId="0">
      <selection activeCell="C10" sqref="C10"/>
    </sheetView>
  </sheetViews>
  <sheetFormatPr defaultRowHeight="14.4" x14ac:dyDescent="0.3"/>
  <cols>
    <col min="1" max="1" width="12.44140625" bestFit="1" customWidth="1"/>
    <col min="2" max="2" width="17.5546875" bestFit="1" customWidth="1"/>
    <col min="3" max="3" width="21.109375" bestFit="1" customWidth="1"/>
    <col min="4" max="4" width="12.44140625" bestFit="1" customWidth="1"/>
    <col min="5" max="5" width="13.109375" bestFit="1" customWidth="1"/>
    <col min="6" max="6" width="21.109375" bestFit="1" customWidth="1"/>
    <col min="7" max="7" width="9.5546875" customWidth="1"/>
    <col min="8" max="8" width="21.109375" bestFit="1" customWidth="1"/>
    <col min="9" max="9" width="18.33203125" bestFit="1" customWidth="1"/>
    <col min="11" max="11" width="13.109375" bestFit="1" customWidth="1"/>
    <col min="12" max="12" width="17.33203125" bestFit="1" customWidth="1"/>
    <col min="14" max="14" width="12.44140625" bestFit="1" customWidth="1"/>
    <col min="15" max="15" width="17.33203125" bestFit="1" customWidth="1"/>
    <col min="16" max="16" width="7.5546875" customWidth="1"/>
    <col min="17" max="18" width="17.33203125" bestFit="1" customWidth="1"/>
    <col min="19" max="19" width="22.21875" bestFit="1" customWidth="1"/>
    <col min="433" max="433" width="10.5546875" bestFit="1" customWidth="1"/>
  </cols>
  <sheetData>
    <row r="1" spans="1:18" x14ac:dyDescent="0.3">
      <c r="B1" s="15" t="s">
        <v>925</v>
      </c>
      <c r="C1" s="15"/>
      <c r="D1" s="15"/>
      <c r="L1" s="15" t="s">
        <v>927</v>
      </c>
      <c r="M1" s="15"/>
      <c r="N1" s="15"/>
    </row>
    <row r="2" spans="1:18" x14ac:dyDescent="0.3">
      <c r="L2" s="15"/>
      <c r="M2" s="15"/>
      <c r="N2" s="15"/>
      <c r="O2" s="15"/>
    </row>
    <row r="3" spans="1:18" x14ac:dyDescent="0.3">
      <c r="A3" s="2" t="s">
        <v>918</v>
      </c>
      <c r="B3" t="s">
        <v>921</v>
      </c>
      <c r="D3" s="2" t="s">
        <v>918</v>
      </c>
      <c r="E3" t="s">
        <v>922</v>
      </c>
      <c r="F3" t="s">
        <v>923</v>
      </c>
      <c r="H3" t="s">
        <v>921</v>
      </c>
      <c r="K3" s="2" t="s">
        <v>918</v>
      </c>
      <c r="L3" t="s">
        <v>919</v>
      </c>
      <c r="N3" s="2" t="s">
        <v>918</v>
      </c>
      <c r="O3" t="s">
        <v>919</v>
      </c>
      <c r="Q3" t="s">
        <v>919</v>
      </c>
    </row>
    <row r="4" spans="1:18" x14ac:dyDescent="0.3">
      <c r="A4" s="3" t="s">
        <v>105</v>
      </c>
      <c r="B4" s="18">
        <v>3366315</v>
      </c>
      <c r="D4" s="3" t="s">
        <v>105</v>
      </c>
      <c r="E4" s="21">
        <v>4162201</v>
      </c>
      <c r="F4" s="21">
        <v>795886</v>
      </c>
      <c r="H4" s="23">
        <v>18405183</v>
      </c>
      <c r="K4" s="3" t="s">
        <v>105</v>
      </c>
      <c r="L4">
        <v>69</v>
      </c>
      <c r="N4" s="3" t="s">
        <v>24</v>
      </c>
      <c r="O4" s="4">
        <v>77</v>
      </c>
      <c r="Q4" s="4">
        <v>415</v>
      </c>
    </row>
    <row r="5" spans="1:18" x14ac:dyDescent="0.3">
      <c r="A5" s="3" t="s">
        <v>27</v>
      </c>
      <c r="B5" s="18">
        <v>2611075</v>
      </c>
      <c r="D5" s="3" t="s">
        <v>27</v>
      </c>
      <c r="E5" s="21">
        <v>3159110</v>
      </c>
      <c r="F5" s="21">
        <v>548035</v>
      </c>
      <c r="K5" s="3" t="s">
        <v>27</v>
      </c>
      <c r="L5">
        <v>63</v>
      </c>
      <c r="N5" s="3" t="s">
        <v>2</v>
      </c>
      <c r="O5" s="4">
        <v>338</v>
      </c>
    </row>
    <row r="6" spans="1:18" x14ac:dyDescent="0.3">
      <c r="A6" s="3" t="s">
        <v>55</v>
      </c>
      <c r="B6" s="18">
        <v>3616924</v>
      </c>
      <c r="D6" s="3" t="s">
        <v>55</v>
      </c>
      <c r="E6" s="21">
        <v>4425089</v>
      </c>
      <c r="F6" s="21">
        <v>808165</v>
      </c>
      <c r="H6" t="s">
        <v>922</v>
      </c>
      <c r="K6" s="3" t="s">
        <v>55</v>
      </c>
      <c r="L6">
        <v>71</v>
      </c>
      <c r="N6" s="3" t="s">
        <v>920</v>
      </c>
      <c r="O6" s="4">
        <v>415</v>
      </c>
    </row>
    <row r="7" spans="1:18" x14ac:dyDescent="0.3">
      <c r="A7" s="3" t="s">
        <v>41</v>
      </c>
      <c r="B7" s="18">
        <v>3010276</v>
      </c>
      <c r="D7" s="3" t="s">
        <v>41</v>
      </c>
      <c r="E7" s="21">
        <v>3898633</v>
      </c>
      <c r="F7" s="21">
        <v>888357</v>
      </c>
      <c r="H7" s="23">
        <v>22953950</v>
      </c>
      <c r="K7" s="3" t="s">
        <v>41</v>
      </c>
      <c r="L7">
        <v>74</v>
      </c>
    </row>
    <row r="8" spans="1:18" x14ac:dyDescent="0.3">
      <c r="A8" s="3" t="s">
        <v>6</v>
      </c>
      <c r="B8" s="18">
        <v>3346621</v>
      </c>
      <c r="D8" s="3" t="s">
        <v>6</v>
      </c>
      <c r="E8" s="21">
        <v>4160632</v>
      </c>
      <c r="F8" s="21">
        <v>814011</v>
      </c>
      <c r="K8" s="3" t="s">
        <v>6</v>
      </c>
      <c r="L8">
        <v>72</v>
      </c>
      <c r="Q8" s="2" t="s">
        <v>918</v>
      </c>
      <c r="R8" t="s">
        <v>919</v>
      </c>
    </row>
    <row r="9" spans="1:18" x14ac:dyDescent="0.3">
      <c r="A9" s="3" t="s">
        <v>80</v>
      </c>
      <c r="B9" s="18">
        <v>2453972</v>
      </c>
      <c r="D9" s="3" t="s">
        <v>80</v>
      </c>
      <c r="E9" s="21">
        <v>3148285</v>
      </c>
      <c r="F9" s="21">
        <v>694313</v>
      </c>
      <c r="H9" t="s">
        <v>923</v>
      </c>
      <c r="K9" s="3" t="s">
        <v>80</v>
      </c>
      <c r="L9">
        <v>66</v>
      </c>
      <c r="Q9" s="3" t="s">
        <v>3</v>
      </c>
      <c r="R9" s="4">
        <v>95</v>
      </c>
    </row>
    <row r="10" spans="1:18" x14ac:dyDescent="0.3">
      <c r="A10" s="3" t="s">
        <v>920</v>
      </c>
      <c r="B10" s="18">
        <v>18405183</v>
      </c>
      <c r="D10" s="3" t="s">
        <v>920</v>
      </c>
      <c r="E10" s="21">
        <v>22953950</v>
      </c>
      <c r="F10" s="21">
        <v>4548767</v>
      </c>
      <c r="H10" s="23">
        <v>4548767</v>
      </c>
      <c r="K10" s="3" t="s">
        <v>920</v>
      </c>
      <c r="L10">
        <v>415</v>
      </c>
      <c r="Q10" s="3" t="s">
        <v>10</v>
      </c>
      <c r="R10" s="4">
        <v>103</v>
      </c>
    </row>
    <row r="11" spans="1:18" x14ac:dyDescent="0.3">
      <c r="Q11" s="3" t="s">
        <v>35</v>
      </c>
      <c r="R11" s="4">
        <v>127</v>
      </c>
    </row>
    <row r="12" spans="1:18" x14ac:dyDescent="0.3">
      <c r="H12" s="2" t="s">
        <v>918</v>
      </c>
      <c r="I12" t="s">
        <v>921</v>
      </c>
      <c r="Q12" s="3" t="s">
        <v>19</v>
      </c>
      <c r="R12" s="4">
        <v>90</v>
      </c>
    </row>
    <row r="13" spans="1:18" x14ac:dyDescent="0.3">
      <c r="A13" s="2" t="s">
        <v>918</v>
      </c>
      <c r="B13" t="s">
        <v>922</v>
      </c>
      <c r="C13" t="s">
        <v>923</v>
      </c>
      <c r="E13" s="2" t="s">
        <v>918</v>
      </c>
      <c r="F13" t="s">
        <v>921</v>
      </c>
      <c r="H13" s="3" t="s">
        <v>24</v>
      </c>
      <c r="I13" s="4">
        <v>3628179</v>
      </c>
      <c r="K13" s="2" t="s">
        <v>918</v>
      </c>
      <c r="L13" t="s">
        <v>919</v>
      </c>
      <c r="Q13" s="3" t="s">
        <v>920</v>
      </c>
      <c r="R13" s="4">
        <v>415</v>
      </c>
    </row>
    <row r="14" spans="1:18" x14ac:dyDescent="0.3">
      <c r="A14" s="3" t="s">
        <v>26</v>
      </c>
      <c r="B14" s="19">
        <v>7410665</v>
      </c>
      <c r="C14" s="19">
        <v>1380494</v>
      </c>
      <c r="E14" s="3" t="s">
        <v>26</v>
      </c>
      <c r="F14" s="20">
        <v>6030171</v>
      </c>
      <c r="H14" s="3" t="s">
        <v>2</v>
      </c>
      <c r="I14" s="4">
        <v>14777004</v>
      </c>
      <c r="K14" s="3" t="s">
        <v>26</v>
      </c>
      <c r="L14" s="4">
        <v>53</v>
      </c>
      <c r="N14" s="2" t="s">
        <v>918</v>
      </c>
      <c r="O14" t="s">
        <v>919</v>
      </c>
    </row>
    <row r="15" spans="1:18" x14ac:dyDescent="0.3">
      <c r="A15" s="3" t="s">
        <v>12</v>
      </c>
      <c r="B15" s="19">
        <v>4544822</v>
      </c>
      <c r="C15" s="19">
        <v>873404</v>
      </c>
      <c r="E15" s="3" t="s">
        <v>12</v>
      </c>
      <c r="F15" s="20">
        <v>3671418</v>
      </c>
      <c r="H15" s="3" t="s">
        <v>920</v>
      </c>
      <c r="I15" s="4">
        <v>18405183</v>
      </c>
      <c r="K15" s="3" t="s">
        <v>12</v>
      </c>
      <c r="L15" s="4">
        <v>57</v>
      </c>
      <c r="N15" s="3" t="s">
        <v>51</v>
      </c>
      <c r="O15" s="4">
        <v>44</v>
      </c>
    </row>
    <row r="16" spans="1:18" x14ac:dyDescent="0.3">
      <c r="A16" s="3" t="s">
        <v>41</v>
      </c>
      <c r="B16" s="19">
        <v>4489245</v>
      </c>
      <c r="C16" s="19">
        <v>984090</v>
      </c>
      <c r="E16" s="3" t="s">
        <v>41</v>
      </c>
      <c r="F16" s="20">
        <v>3505155</v>
      </c>
      <c r="K16" s="3" t="s">
        <v>41</v>
      </c>
      <c r="L16" s="4">
        <v>41</v>
      </c>
      <c r="N16" s="3" t="s">
        <v>9</v>
      </c>
      <c r="O16" s="4">
        <v>37</v>
      </c>
    </row>
    <row r="17" spans="1:15" x14ac:dyDescent="0.3">
      <c r="A17" s="3" t="s">
        <v>21</v>
      </c>
      <c r="B17" s="19">
        <v>262599</v>
      </c>
      <c r="C17" s="19">
        <v>54506</v>
      </c>
      <c r="E17" s="3" t="s">
        <v>21</v>
      </c>
      <c r="F17" s="20">
        <v>208093</v>
      </c>
      <c r="H17" t="s">
        <v>924</v>
      </c>
      <c r="K17" s="3" t="s">
        <v>21</v>
      </c>
      <c r="L17" s="4">
        <v>54</v>
      </c>
      <c r="N17" s="3" t="s">
        <v>18</v>
      </c>
      <c r="O17" s="4">
        <v>37</v>
      </c>
    </row>
    <row r="18" spans="1:15" x14ac:dyDescent="0.3">
      <c r="A18" s="3" t="s">
        <v>5</v>
      </c>
      <c r="B18" s="19">
        <v>2196152</v>
      </c>
      <c r="C18" s="19">
        <v>452914</v>
      </c>
      <c r="E18" s="3" t="s">
        <v>5</v>
      </c>
      <c r="F18" s="20">
        <v>1743238</v>
      </c>
      <c r="H18" s="4">
        <v>44349.838554216869</v>
      </c>
      <c r="K18" s="3" t="s">
        <v>5</v>
      </c>
      <c r="L18" s="4">
        <v>67</v>
      </c>
      <c r="N18" s="3" t="s">
        <v>83</v>
      </c>
      <c r="O18" s="4">
        <v>45</v>
      </c>
    </row>
    <row r="19" spans="1:15" x14ac:dyDescent="0.3">
      <c r="A19" s="3" t="s">
        <v>69</v>
      </c>
      <c r="B19" s="19">
        <v>975662</v>
      </c>
      <c r="C19" s="19">
        <v>202822</v>
      </c>
      <c r="E19" s="3" t="s">
        <v>69</v>
      </c>
      <c r="F19" s="20">
        <v>772840</v>
      </c>
      <c r="K19" s="3" t="s">
        <v>69</v>
      </c>
      <c r="L19" s="4">
        <v>44</v>
      </c>
      <c r="N19" s="3" t="s">
        <v>30</v>
      </c>
      <c r="O19" s="4">
        <v>47</v>
      </c>
    </row>
    <row r="20" spans="1:15" x14ac:dyDescent="0.3">
      <c r="A20" s="3" t="s">
        <v>37</v>
      </c>
      <c r="B20" s="19">
        <v>2502768</v>
      </c>
      <c r="C20" s="19">
        <v>478820</v>
      </c>
      <c r="E20" s="3" t="s">
        <v>37</v>
      </c>
      <c r="F20" s="20">
        <v>2023948</v>
      </c>
      <c r="K20" s="3" t="s">
        <v>37</v>
      </c>
      <c r="L20" s="4">
        <v>45</v>
      </c>
      <c r="N20" s="3" t="s">
        <v>100</v>
      </c>
      <c r="O20" s="4">
        <v>35</v>
      </c>
    </row>
    <row r="21" spans="1:15" x14ac:dyDescent="0.3">
      <c r="A21" s="3" t="s">
        <v>32</v>
      </c>
      <c r="B21" s="19">
        <v>572037</v>
      </c>
      <c r="C21" s="19">
        <v>121717</v>
      </c>
      <c r="E21" s="3" t="s">
        <v>32</v>
      </c>
      <c r="F21" s="20">
        <v>450320</v>
      </c>
      <c r="K21" s="3" t="s">
        <v>32</v>
      </c>
      <c r="L21" s="4">
        <v>54</v>
      </c>
      <c r="N21" s="3" t="s">
        <v>67</v>
      </c>
      <c r="O21" s="4">
        <v>39</v>
      </c>
    </row>
    <row r="22" spans="1:15" x14ac:dyDescent="0.3">
      <c r="A22" s="3" t="s">
        <v>920</v>
      </c>
      <c r="B22" s="19">
        <v>22953950</v>
      </c>
      <c r="C22" s="19">
        <v>4548767</v>
      </c>
      <c r="E22" s="3" t="s">
        <v>920</v>
      </c>
      <c r="F22" s="20">
        <v>18405183</v>
      </c>
      <c r="K22" s="3" t="s">
        <v>920</v>
      </c>
      <c r="L22" s="4">
        <v>415</v>
      </c>
      <c r="N22" s="3" t="s">
        <v>15</v>
      </c>
      <c r="O22" s="4">
        <v>47</v>
      </c>
    </row>
    <row r="23" spans="1:15" x14ac:dyDescent="0.3">
      <c r="N23" s="3" t="s">
        <v>44</v>
      </c>
      <c r="O23" s="4">
        <v>42</v>
      </c>
    </row>
    <row r="24" spans="1:15" x14ac:dyDescent="0.3">
      <c r="C24" t="s">
        <v>929</v>
      </c>
      <c r="N24" s="3" t="s">
        <v>1</v>
      </c>
      <c r="O24" s="4">
        <v>42</v>
      </c>
    </row>
    <row r="25" spans="1:15" x14ac:dyDescent="0.3">
      <c r="B25" s="15" t="s">
        <v>926</v>
      </c>
      <c r="C25" s="15"/>
      <c r="D25" s="15"/>
      <c r="K25" s="5"/>
      <c r="L25" s="6"/>
      <c r="M25" s="7"/>
      <c r="N25" s="3" t="s">
        <v>920</v>
      </c>
      <c r="O25" s="4">
        <v>415</v>
      </c>
    </row>
    <row r="26" spans="1:15" x14ac:dyDescent="0.3">
      <c r="K26" s="8"/>
      <c r="L26" s="9"/>
      <c r="M26" s="10"/>
    </row>
    <row r="27" spans="1:15" x14ac:dyDescent="0.3">
      <c r="B27" s="2" t="s">
        <v>918</v>
      </c>
      <c r="C27" t="s">
        <v>924</v>
      </c>
      <c r="E27" s="2" t="s">
        <v>918</v>
      </c>
      <c r="F27" t="s">
        <v>924</v>
      </c>
      <c r="K27" s="8"/>
      <c r="L27" s="9"/>
      <c r="M27" s="10"/>
    </row>
    <row r="28" spans="1:15" x14ac:dyDescent="0.3">
      <c r="B28" s="3" t="s">
        <v>105</v>
      </c>
      <c r="C28" s="14">
        <v>48787.17391304348</v>
      </c>
      <c r="E28" s="3" t="s">
        <v>26</v>
      </c>
      <c r="F28" s="14">
        <v>113776.81132075471</v>
      </c>
      <c r="K28" s="8"/>
      <c r="L28" s="9"/>
      <c r="M28" s="10"/>
    </row>
    <row r="29" spans="1:15" x14ac:dyDescent="0.3">
      <c r="B29" s="3" t="s">
        <v>27</v>
      </c>
      <c r="C29" s="14">
        <v>41445.634920634919</v>
      </c>
      <c r="E29" s="3" t="s">
        <v>12</v>
      </c>
      <c r="F29" s="14">
        <v>64410.84210526316</v>
      </c>
      <c r="K29" s="8"/>
      <c r="L29" s="9"/>
      <c r="M29" s="10"/>
    </row>
    <row r="30" spans="1:15" x14ac:dyDescent="0.3">
      <c r="B30" s="3" t="s">
        <v>55</v>
      </c>
      <c r="C30" s="14">
        <v>50942.591549295772</v>
      </c>
      <c r="E30" s="3" t="s">
        <v>41</v>
      </c>
      <c r="F30" s="14">
        <v>85491.585365853665</v>
      </c>
      <c r="K30" s="8"/>
      <c r="L30" s="9"/>
      <c r="M30" s="10"/>
    </row>
    <row r="31" spans="1:15" x14ac:dyDescent="0.3">
      <c r="B31" s="3" t="s">
        <v>41</v>
      </c>
      <c r="C31" s="14">
        <v>40679.405405405407</v>
      </c>
      <c r="E31" s="3" t="s">
        <v>21</v>
      </c>
      <c r="F31" s="14">
        <v>3853.5740740740739</v>
      </c>
      <c r="K31" s="8"/>
      <c r="L31" s="9"/>
      <c r="M31" s="10"/>
    </row>
    <row r="32" spans="1:15" x14ac:dyDescent="0.3">
      <c r="B32" s="3" t="s">
        <v>6</v>
      </c>
      <c r="C32" s="14">
        <v>46480.847222222219</v>
      </c>
      <c r="E32" s="3" t="s">
        <v>5</v>
      </c>
      <c r="F32" s="14">
        <v>26018.4776119403</v>
      </c>
      <c r="K32" s="8"/>
      <c r="L32" s="9"/>
      <c r="M32" s="10"/>
    </row>
    <row r="33" spans="2:13" x14ac:dyDescent="0.3">
      <c r="B33" s="3" t="s">
        <v>80</v>
      </c>
      <c r="C33" s="14">
        <v>37181.393939393936</v>
      </c>
      <c r="E33" s="3" t="s">
        <v>69</v>
      </c>
      <c r="F33" s="14">
        <v>17564.545454545456</v>
      </c>
      <c r="K33" s="8"/>
      <c r="L33" s="9"/>
      <c r="M33" s="10"/>
    </row>
    <row r="34" spans="2:13" x14ac:dyDescent="0.3">
      <c r="B34" s="3" t="s">
        <v>920</v>
      </c>
      <c r="C34" s="14">
        <v>44349.838554216869</v>
      </c>
      <c r="E34" s="3" t="s">
        <v>37</v>
      </c>
      <c r="F34" s="14">
        <v>44976.62222222222</v>
      </c>
      <c r="K34" s="8"/>
      <c r="L34" s="9"/>
      <c r="M34" s="10"/>
    </row>
    <row r="35" spans="2:13" x14ac:dyDescent="0.3">
      <c r="E35" s="3" t="s">
        <v>32</v>
      </c>
      <c r="F35" s="14">
        <v>8339.2592592592591</v>
      </c>
      <c r="K35" s="8"/>
      <c r="L35" s="9"/>
      <c r="M35" s="10"/>
    </row>
    <row r="36" spans="2:13" x14ac:dyDescent="0.3">
      <c r="B36" s="2" t="s">
        <v>918</v>
      </c>
      <c r="C36" t="s">
        <v>924</v>
      </c>
      <c r="E36" s="3" t="s">
        <v>920</v>
      </c>
      <c r="F36" s="14">
        <v>44349.838554216869</v>
      </c>
      <c r="K36" s="8"/>
      <c r="L36" s="9"/>
      <c r="M36" s="10"/>
    </row>
    <row r="37" spans="2:13" x14ac:dyDescent="0.3">
      <c r="B37" s="3" t="s">
        <v>51</v>
      </c>
      <c r="C37" s="14">
        <v>48754.88636363636</v>
      </c>
      <c r="K37" s="8"/>
      <c r="L37" s="9"/>
      <c r="M37" s="10"/>
    </row>
    <row r="38" spans="2:13" x14ac:dyDescent="0.3">
      <c r="B38" s="3" t="s">
        <v>9</v>
      </c>
      <c r="C38" s="14">
        <v>45443.270270270274</v>
      </c>
      <c r="K38" s="8"/>
      <c r="L38" s="9"/>
      <c r="M38" s="10"/>
    </row>
    <row r="39" spans="2:13" x14ac:dyDescent="0.3">
      <c r="B39" s="3" t="s">
        <v>18</v>
      </c>
      <c r="C39" s="14">
        <v>43827.972972972973</v>
      </c>
      <c r="K39" s="8"/>
      <c r="L39" s="9"/>
      <c r="M39" s="10"/>
    </row>
    <row r="40" spans="2:13" x14ac:dyDescent="0.3">
      <c r="B40" s="3" t="s">
        <v>83</v>
      </c>
      <c r="C40" s="14">
        <v>39041.333333333336</v>
      </c>
      <c r="K40" s="8"/>
      <c r="L40" s="9"/>
      <c r="M40" s="10"/>
    </row>
    <row r="41" spans="2:13" x14ac:dyDescent="0.3">
      <c r="B41" s="3" t="s">
        <v>30</v>
      </c>
      <c r="C41" s="14">
        <v>55267.106382978724</v>
      </c>
      <c r="K41" s="8"/>
      <c r="L41" s="9"/>
      <c r="M41" s="10"/>
    </row>
    <row r="42" spans="2:13" x14ac:dyDescent="0.3">
      <c r="B42" s="3" t="s">
        <v>100</v>
      </c>
      <c r="C42" s="14">
        <v>36996.428571428572</v>
      </c>
      <c r="K42" s="11"/>
      <c r="L42" s="12"/>
      <c r="M42" s="13"/>
    </row>
    <row r="43" spans="2:13" x14ac:dyDescent="0.3">
      <c r="B43" s="3" t="s">
        <v>67</v>
      </c>
      <c r="C43" s="14">
        <v>42608.256410256414</v>
      </c>
    </row>
    <row r="44" spans="2:13" x14ac:dyDescent="0.3">
      <c r="B44" s="3" t="s">
        <v>15</v>
      </c>
      <c r="C44" s="14">
        <v>41859.021276595748</v>
      </c>
    </row>
    <row r="45" spans="2:13" x14ac:dyDescent="0.3">
      <c r="B45" s="3" t="s">
        <v>44</v>
      </c>
      <c r="C45" s="14">
        <v>39384.642857142855</v>
      </c>
    </row>
    <row r="46" spans="2:13" x14ac:dyDescent="0.3">
      <c r="B46" s="3" t="s">
        <v>1</v>
      </c>
      <c r="C46" s="14">
        <v>48199.809523809527</v>
      </c>
    </row>
    <row r="47" spans="2:13" x14ac:dyDescent="0.3">
      <c r="B47" s="3" t="s">
        <v>920</v>
      </c>
      <c r="C47" s="14">
        <v>44349.838554216869</v>
      </c>
    </row>
  </sheetData>
  <mergeCells count="4">
    <mergeCell ref="B1:D1"/>
    <mergeCell ref="B25:D25"/>
    <mergeCell ref="L1:N1"/>
    <mergeCell ref="L2:O2"/>
  </mergeCells>
  <pageMargins left="0.7" right="0.7" top="0.75" bottom="0.75" header="0.3" footer="0.3"/>
  <drawing r:id="rId20"/>
  <extLst>
    <ext xmlns:x14="http://schemas.microsoft.com/office/spreadsheetml/2009/9/main" uri="{05C60535-1F16-4fd2-B633-F4F36F0B64E0}">
      <x14:sparklineGroups xmlns:xm="http://schemas.microsoft.com/office/excel/2006/main">
        <x14:sparklineGroup type="column" displayEmptyCellsAs="gap" high="1" low="1" xr2:uid="{253A443C-EE54-401E-8F1B-D24F13E2F08A}">
          <x14:colorSeries rgb="FF376092"/>
          <x14:colorNegative rgb="FFD00000"/>
          <x14:colorAxis rgb="FF000000"/>
          <x14:colorMarkers rgb="FFD00000"/>
          <x14:colorFirst rgb="FFD00000"/>
          <x14:colorLast rgb="FFD00000"/>
          <x14:colorHigh rgb="FFD00000"/>
          <x14:colorLow rgb="FFD00000"/>
          <x14:sparklines>
            <x14:sparkline>
              <xm:f>'pivot '!B4:B9</xm:f>
              <xm:sqref>C10</xm:sqref>
            </x14:sparkline>
          </x14:sparklines>
        </x14:sparklineGroup>
      </x14:sparklineGroups>
    </ext>
    <ext xmlns:x14="http://schemas.microsoft.com/office/spreadsheetml/2009/9/main" uri="{A8765BA9-456A-4dab-B4F3-ACF838C121DE}">
      <x14:slicerList>
        <x14:slicer r:id="rId2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3A66-3EE3-43C6-8858-D0546DCF6EF6}">
  <dimension ref="A1"/>
  <sheetViews>
    <sheetView workbookViewId="0">
      <selection activeCell="E7" sqref="E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7A30-D02F-455F-8454-7E7B3EF9D656}">
  <dimension ref="A1"/>
  <sheetViews>
    <sheetView zoomScale="59" workbookViewId="0">
      <selection sqref="A1:XFD1048576"/>
    </sheetView>
  </sheetViews>
  <sheetFormatPr defaultRowHeight="14.4" x14ac:dyDescent="0.3"/>
  <cols>
    <col min="1" max="16384" width="8.88671875" style="16"/>
  </cols>
  <sheetData/>
  <mergeCells count="1">
    <mergeCell ref="A1:XFD104857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5E4B-EF3E-451B-AFFA-CE8716E825E7}">
  <dimension ref="A1"/>
  <sheetViews>
    <sheetView workbookViewId="0">
      <selection sqref="A1:XFD1048576"/>
    </sheetView>
  </sheetViews>
  <sheetFormatPr defaultRowHeight="14.4" x14ac:dyDescent="0.3"/>
  <cols>
    <col min="1" max="1" width="15.44140625" style="16" bestFit="1" customWidth="1"/>
    <col min="2" max="2" width="22.21875" style="16" bestFit="1" customWidth="1"/>
    <col min="3" max="16384" width="8.88671875" style="16"/>
  </cols>
  <sheetData>
    <row r="1" s="16" customFormat="1" x14ac:dyDescent="0.3"/>
  </sheetData>
  <mergeCells count="1">
    <mergeCell ref="A1:XFD104857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C04C-BFBC-4164-BCC4-EE043B141A95}">
  <dimension ref="A1"/>
  <sheetViews>
    <sheetView workbookViewId="0">
      <selection activeCell="J23" sqref="J23"/>
    </sheetView>
  </sheetViews>
  <sheetFormatPr defaultRowHeight="14.4" x14ac:dyDescent="0.3"/>
  <cols>
    <col min="1" max="16384" width="8.88671875" style="1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1D78FD5C-CE42-4B48-8A08-03F236C18A70}">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AFA99437-C405-4052-A267-075BE7167A9D}">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Datas</vt:lpstr>
      <vt:lpstr>Dashboard</vt:lpstr>
      <vt:lpstr>pivot </vt:lpstr>
      <vt:lpstr>Slicers</vt:lpstr>
      <vt:lpstr>Sum Charts</vt:lpstr>
      <vt:lpstr>Average Charts</vt:lpstr>
      <vt:lpstr>Count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mdanush waran</dc:creator>
  <cp:lastModifiedBy>mdanush waran</cp:lastModifiedBy>
  <dcterms:created xsi:type="dcterms:W3CDTF">2026-07-10T07:12:50Z</dcterms:created>
  <dcterms:modified xsi:type="dcterms:W3CDTF">2026-07-12T16:05:34Z</dcterms:modified>
</cp:coreProperties>
</file>